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guswa/Courses/EGR315/Textbook_JP/"/>
    </mc:Choice>
  </mc:AlternateContent>
  <xr:revisionPtr revIDLastSave="0" documentId="13_ncr:1_{EFBBBF14-161D-D24C-9AD8-A598B0E08F79}" xr6:coauthVersionLast="47" xr6:coauthVersionMax="47" xr10:uidLastSave="{00000000-0000-0000-0000-000000000000}"/>
  <bookViews>
    <workbookView xWindow="20060" yWindow="1200" windowWidth="39000" windowHeight="24280" activeTab="3" xr2:uid="{F09CF114-2A11-C142-8EF8-034484D37C31}"/>
  </bookViews>
  <sheets>
    <sheet name="RetentionCurves" sheetId="1" r:id="rId1"/>
    <sheet name="vanGenuchtenSchematic" sheetId="4" r:id="rId2"/>
    <sheet name="Table for textbook" sheetId="3" r:id="rId3"/>
    <sheet name="GreenAmpt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17" i="4"/>
  <c r="G24" i="2"/>
  <c r="G45" i="2"/>
  <c r="G18" i="2"/>
  <c r="G17" i="2"/>
  <c r="C62" i="4"/>
  <c r="B23" i="4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F12" i="4"/>
  <c r="C12" i="4"/>
  <c r="C61" i="4" s="1"/>
  <c r="E47" i="1"/>
  <c r="G12" i="1"/>
  <c r="D12" i="1"/>
  <c r="D18" i="1"/>
  <c r="D47" i="1"/>
  <c r="G26" i="1"/>
  <c r="G27" i="1"/>
  <c r="G28" i="1"/>
  <c r="G29" i="1"/>
  <c r="G30" i="1"/>
  <c r="G31" i="1"/>
  <c r="G32" i="1"/>
  <c r="G33" i="1"/>
  <c r="G34" i="1"/>
  <c r="G35" i="1"/>
  <c r="G36" i="1"/>
  <c r="G37" i="1"/>
  <c r="G43" i="1"/>
  <c r="G44" i="1"/>
  <c r="G45" i="1"/>
  <c r="D24" i="1"/>
  <c r="D25" i="1"/>
  <c r="D26" i="1"/>
  <c r="D27" i="1"/>
  <c r="D28" i="1"/>
  <c r="D29" i="1"/>
  <c r="D30" i="1"/>
  <c r="D31" i="1"/>
  <c r="D32" i="1"/>
  <c r="D33" i="1"/>
  <c r="D35" i="1"/>
  <c r="D36" i="1"/>
  <c r="D37" i="1"/>
  <c r="D38" i="1"/>
  <c r="D39" i="1"/>
  <c r="D40" i="1"/>
  <c r="D41" i="1"/>
  <c r="D42" i="1"/>
  <c r="D43" i="1"/>
  <c r="D44" i="1"/>
  <c r="D45" i="1"/>
  <c r="D17" i="1"/>
  <c r="E9" i="2"/>
  <c r="A20" i="2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F17" i="2"/>
  <c r="C18" i="2" s="1"/>
  <c r="R15" i="1"/>
  <c r="R16" i="1"/>
  <c r="R17" i="1"/>
  <c r="R18" i="1"/>
  <c r="R19" i="1"/>
  <c r="R20" i="1"/>
  <c r="R21" i="1"/>
  <c r="R22" i="1"/>
  <c r="R23" i="1"/>
  <c r="R24" i="1"/>
  <c r="R14" i="1"/>
  <c r="J52" i="1"/>
  <c r="S15" i="1"/>
  <c r="S16" i="1"/>
  <c r="S17" i="1"/>
  <c r="S18" i="1"/>
  <c r="S19" i="1"/>
  <c r="S20" i="1"/>
  <c r="S21" i="1"/>
  <c r="S22" i="1"/>
  <c r="S23" i="1"/>
  <c r="S24" i="1"/>
  <c r="S14" i="1"/>
  <c r="C17" i="1"/>
  <c r="K12" i="1"/>
  <c r="K17" i="1" s="1"/>
  <c r="L12" i="1"/>
  <c r="M12" i="1"/>
  <c r="M17" i="1" s="1"/>
  <c r="J12" i="1"/>
  <c r="J17" i="1" s="1"/>
  <c r="C47" i="1"/>
  <c r="B47" i="1"/>
  <c r="F47" i="1"/>
  <c r="B17" i="1"/>
  <c r="A18" i="1"/>
  <c r="G44" i="2" l="1"/>
  <c r="G71" i="2"/>
  <c r="G70" i="2"/>
  <c r="G65" i="2"/>
  <c r="G56" i="2"/>
  <c r="G55" i="2"/>
  <c r="G46" i="2"/>
  <c r="G36" i="2"/>
  <c r="G26" i="2"/>
  <c r="G35" i="2"/>
  <c r="G25" i="2"/>
  <c r="A79" i="2"/>
  <c r="G79" i="2"/>
  <c r="G63" i="2"/>
  <c r="G43" i="2"/>
  <c r="G33" i="2"/>
  <c r="G23" i="2"/>
  <c r="G72" i="2"/>
  <c r="G62" i="2"/>
  <c r="G75" i="2"/>
  <c r="G74" i="2"/>
  <c r="G54" i="2"/>
  <c r="G32" i="2"/>
  <c r="G51" i="2"/>
  <c r="G21" i="2"/>
  <c r="G40" i="2"/>
  <c r="G59" i="2"/>
  <c r="G49" i="2"/>
  <c r="G39" i="2"/>
  <c r="G29" i="2"/>
  <c r="G19" i="2"/>
  <c r="G78" i="2"/>
  <c r="G68" i="2"/>
  <c r="G64" i="2"/>
  <c r="G34" i="2"/>
  <c r="G73" i="2"/>
  <c r="G53" i="2"/>
  <c r="G52" i="2"/>
  <c r="G22" i="2"/>
  <c r="G61" i="2"/>
  <c r="G31" i="2"/>
  <c r="G60" i="2"/>
  <c r="G30" i="2"/>
  <c r="G69" i="2"/>
  <c r="G58" i="2"/>
  <c r="G48" i="2"/>
  <c r="G38" i="2"/>
  <c r="G28" i="2"/>
  <c r="G77" i="2"/>
  <c r="G67" i="2"/>
  <c r="G42" i="2"/>
  <c r="G41" i="2"/>
  <c r="G50" i="2"/>
  <c r="G20" i="2"/>
  <c r="G57" i="2"/>
  <c r="G47" i="2"/>
  <c r="G37" i="2"/>
  <c r="G27" i="2"/>
  <c r="G76" i="2"/>
  <c r="G66" i="2"/>
  <c r="B55" i="4"/>
  <c r="C54" i="4"/>
  <c r="C18" i="4"/>
  <c r="C17" i="4"/>
  <c r="G47" i="1"/>
  <c r="G38" i="1"/>
  <c r="G39" i="1"/>
  <c r="G40" i="1"/>
  <c r="G41" i="1"/>
  <c r="G42" i="1"/>
  <c r="D22" i="1"/>
  <c r="D23" i="1"/>
  <c r="D20" i="1"/>
  <c r="D21" i="1"/>
  <c r="D19" i="1"/>
  <c r="D34" i="1"/>
  <c r="D18" i="2"/>
  <c r="M18" i="1"/>
  <c r="K18" i="1"/>
  <c r="J18" i="1"/>
  <c r="C18" i="1"/>
  <c r="A19" i="1"/>
  <c r="B18" i="1"/>
  <c r="G80" i="2" l="1"/>
  <c r="A80" i="2"/>
  <c r="E18" i="2"/>
  <c r="F18" i="2" s="1"/>
  <c r="C19" i="2" s="1"/>
  <c r="D19" i="2" s="1"/>
  <c r="E19" i="2" s="1"/>
  <c r="F19" i="2" s="1"/>
  <c r="C20" i="2" s="1"/>
  <c r="B56" i="4"/>
  <c r="C55" i="4"/>
  <c r="C19" i="4"/>
  <c r="M19" i="1"/>
  <c r="K19" i="1"/>
  <c r="J19" i="1"/>
  <c r="C19" i="1"/>
  <c r="B19" i="1"/>
  <c r="A20" i="1"/>
  <c r="G81" i="2" l="1"/>
  <c r="A81" i="2"/>
  <c r="B57" i="4"/>
  <c r="C56" i="4"/>
  <c r="C20" i="4"/>
  <c r="D20" i="2"/>
  <c r="E20" i="2" s="1"/>
  <c r="F20" i="2" s="1"/>
  <c r="C21" i="2" s="1"/>
  <c r="M20" i="1"/>
  <c r="K20" i="1"/>
  <c r="J20" i="1"/>
  <c r="C20" i="1"/>
  <c r="B20" i="1"/>
  <c r="A21" i="1"/>
  <c r="A82" i="2" l="1"/>
  <c r="G82" i="2"/>
  <c r="C57" i="4"/>
  <c r="B58" i="4"/>
  <c r="C21" i="4"/>
  <c r="D21" i="2"/>
  <c r="E21" i="2" s="1"/>
  <c r="F21" i="2" s="1"/>
  <c r="C22" i="2" s="1"/>
  <c r="M21" i="1"/>
  <c r="K21" i="1"/>
  <c r="J21" i="1"/>
  <c r="C21" i="1"/>
  <c r="B21" i="1"/>
  <c r="A22" i="1"/>
  <c r="A83" i="2" l="1"/>
  <c r="G83" i="2"/>
  <c r="C58" i="4"/>
  <c r="B59" i="4"/>
  <c r="C22" i="4"/>
  <c r="D22" i="2"/>
  <c r="E22" i="2" s="1"/>
  <c r="F22" i="2" s="1"/>
  <c r="C23" i="2" s="1"/>
  <c r="M22" i="1"/>
  <c r="K22" i="1"/>
  <c r="J22" i="1"/>
  <c r="B22" i="1"/>
  <c r="C22" i="1"/>
  <c r="A23" i="1"/>
  <c r="A84" i="2" l="1"/>
  <c r="G84" i="2"/>
  <c r="C59" i="4"/>
  <c r="B60" i="4"/>
  <c r="C60" i="4" s="1"/>
  <c r="C23" i="4"/>
  <c r="D23" i="2"/>
  <c r="E23" i="2" s="1"/>
  <c r="F23" i="2" s="1"/>
  <c r="C24" i="2" s="1"/>
  <c r="D24" i="2" s="1"/>
  <c r="E24" i="2" s="1"/>
  <c r="F24" i="2" s="1"/>
  <c r="C25" i="2" s="1"/>
  <c r="D25" i="2" s="1"/>
  <c r="E25" i="2" s="1"/>
  <c r="F25" i="2" s="1"/>
  <c r="C26" i="2" s="1"/>
  <c r="D26" i="2" s="1"/>
  <c r="E26" i="2" s="1"/>
  <c r="F26" i="2" s="1"/>
  <c r="C27" i="2" s="1"/>
  <c r="D27" i="2" s="1"/>
  <c r="E27" i="2" s="1"/>
  <c r="F27" i="2" s="1"/>
  <c r="C28" i="2" s="1"/>
  <c r="M23" i="1"/>
  <c r="K23" i="1"/>
  <c r="J23" i="1"/>
  <c r="C23" i="1"/>
  <c r="B23" i="1"/>
  <c r="A24" i="1"/>
  <c r="A85" i="2" l="1"/>
  <c r="G85" i="2"/>
  <c r="C24" i="4"/>
  <c r="D28" i="2"/>
  <c r="E28" i="2" s="1"/>
  <c r="F28" i="2" s="1"/>
  <c r="C29" i="2" s="1"/>
  <c r="M24" i="1"/>
  <c r="K24" i="1"/>
  <c r="J24" i="1"/>
  <c r="B24" i="1"/>
  <c r="C24" i="1"/>
  <c r="A25" i="1"/>
  <c r="A86" i="2" l="1"/>
  <c r="G86" i="2"/>
  <c r="C25" i="4"/>
  <c r="D29" i="2"/>
  <c r="E29" i="2" s="1"/>
  <c r="F29" i="2" s="1"/>
  <c r="C30" i="2" s="1"/>
  <c r="M25" i="1"/>
  <c r="K25" i="1"/>
  <c r="J25" i="1"/>
  <c r="C25" i="1"/>
  <c r="F25" i="1"/>
  <c r="B25" i="1"/>
  <c r="A26" i="1"/>
  <c r="A87" i="2" l="1"/>
  <c r="G87" i="2"/>
  <c r="C26" i="4"/>
  <c r="D30" i="2"/>
  <c r="E30" i="2" s="1"/>
  <c r="F30" i="2" s="1"/>
  <c r="C31" i="2" s="1"/>
  <c r="M26" i="1"/>
  <c r="L26" i="1"/>
  <c r="K26" i="1"/>
  <c r="J26" i="1"/>
  <c r="B26" i="1"/>
  <c r="C26" i="1"/>
  <c r="E26" i="1"/>
  <c r="F26" i="1"/>
  <c r="A27" i="1"/>
  <c r="A88" i="2" l="1"/>
  <c r="G88" i="2"/>
  <c r="C27" i="4"/>
  <c r="D31" i="2"/>
  <c r="E31" i="2" s="1"/>
  <c r="F31" i="2" s="1"/>
  <c r="C32" i="2" s="1"/>
  <c r="L27" i="1"/>
  <c r="K27" i="1"/>
  <c r="J27" i="1"/>
  <c r="M27" i="1"/>
  <c r="E27" i="1"/>
  <c r="F27" i="1"/>
  <c r="B27" i="1"/>
  <c r="C27" i="1"/>
  <c r="A28" i="1"/>
  <c r="A89" i="2" l="1"/>
  <c r="G89" i="2"/>
  <c r="C28" i="4"/>
  <c r="D32" i="2"/>
  <c r="E32" i="2" s="1"/>
  <c r="F32" i="2" s="1"/>
  <c r="C33" i="2" s="1"/>
  <c r="M28" i="1"/>
  <c r="L28" i="1"/>
  <c r="K28" i="1"/>
  <c r="J28" i="1"/>
  <c r="B28" i="1"/>
  <c r="C28" i="1"/>
  <c r="E28" i="1"/>
  <c r="F28" i="1"/>
  <c r="A29" i="1"/>
  <c r="A90" i="2" l="1"/>
  <c r="G90" i="2"/>
  <c r="C29" i="4"/>
  <c r="D33" i="2"/>
  <c r="E33" i="2" s="1"/>
  <c r="F33" i="2" s="1"/>
  <c r="C34" i="2" s="1"/>
  <c r="M29" i="1"/>
  <c r="L29" i="1"/>
  <c r="K29" i="1"/>
  <c r="J29" i="1"/>
  <c r="C29" i="1"/>
  <c r="E29" i="1"/>
  <c r="B29" i="1"/>
  <c r="F29" i="1"/>
  <c r="A30" i="1"/>
  <c r="A91" i="2" l="1"/>
  <c r="G91" i="2"/>
  <c r="C30" i="4"/>
  <c r="D34" i="2"/>
  <c r="E34" i="2" s="1"/>
  <c r="F34" i="2" s="1"/>
  <c r="C35" i="2" s="1"/>
  <c r="M30" i="1"/>
  <c r="L30" i="1"/>
  <c r="K30" i="1"/>
  <c r="J30" i="1"/>
  <c r="B30" i="1"/>
  <c r="C30" i="1"/>
  <c r="E30" i="1"/>
  <c r="F30" i="1"/>
  <c r="A31" i="1"/>
  <c r="A92" i="2" l="1"/>
  <c r="G92" i="2"/>
  <c r="C31" i="4"/>
  <c r="D35" i="2"/>
  <c r="E35" i="2" s="1"/>
  <c r="F35" i="2" s="1"/>
  <c r="C36" i="2" s="1"/>
  <c r="D36" i="2" s="1"/>
  <c r="E36" i="2" s="1"/>
  <c r="F36" i="2" s="1"/>
  <c r="C37" i="2" s="1"/>
  <c r="D37" i="2" s="1"/>
  <c r="E37" i="2" s="1"/>
  <c r="F37" i="2" s="1"/>
  <c r="C38" i="2" s="1"/>
  <c r="D38" i="2" s="1"/>
  <c r="E38" i="2" s="1"/>
  <c r="F38" i="2" s="1"/>
  <c r="C39" i="2" s="1"/>
  <c r="D39" i="2" s="1"/>
  <c r="E39" i="2" s="1"/>
  <c r="F39" i="2" s="1"/>
  <c r="C40" i="2" s="1"/>
  <c r="D40" i="2" s="1"/>
  <c r="E40" i="2" s="1"/>
  <c r="F40" i="2" s="1"/>
  <c r="C41" i="2" s="1"/>
  <c r="D41" i="2" s="1"/>
  <c r="E41" i="2" s="1"/>
  <c r="F41" i="2" s="1"/>
  <c r="C42" i="2" s="1"/>
  <c r="D42" i="2" s="1"/>
  <c r="E42" i="2" s="1"/>
  <c r="F42" i="2" s="1"/>
  <c r="C43" i="2" s="1"/>
  <c r="D43" i="2" s="1"/>
  <c r="E43" i="2" s="1"/>
  <c r="F43" i="2" s="1"/>
  <c r="C44" i="2" s="1"/>
  <c r="D44" i="2" s="1"/>
  <c r="E44" i="2" s="1"/>
  <c r="F44" i="2" s="1"/>
  <c r="C45" i="2" s="1"/>
  <c r="D45" i="2" s="1"/>
  <c r="E45" i="2" s="1"/>
  <c r="F45" i="2" s="1"/>
  <c r="C46" i="2" s="1"/>
  <c r="D46" i="2" s="1"/>
  <c r="E46" i="2" s="1"/>
  <c r="F46" i="2" s="1"/>
  <c r="C47" i="2" s="1"/>
  <c r="D47" i="2" s="1"/>
  <c r="E47" i="2" s="1"/>
  <c r="F47" i="2" s="1"/>
  <c r="C48" i="2" s="1"/>
  <c r="D48" i="2" s="1"/>
  <c r="E48" i="2" s="1"/>
  <c r="F48" i="2" s="1"/>
  <c r="C49" i="2" s="1"/>
  <c r="M31" i="1"/>
  <c r="L31" i="1"/>
  <c r="K31" i="1"/>
  <c r="J31" i="1"/>
  <c r="A32" i="1"/>
  <c r="E31" i="1"/>
  <c r="F31" i="1"/>
  <c r="B31" i="1"/>
  <c r="C31" i="1"/>
  <c r="A93" i="2" l="1"/>
  <c r="G93" i="2"/>
  <c r="C32" i="4"/>
  <c r="D49" i="2"/>
  <c r="E49" i="2" s="1"/>
  <c r="F49" i="2" s="1"/>
  <c r="C50" i="2" s="1"/>
  <c r="D50" i="2" s="1"/>
  <c r="E50" i="2" s="1"/>
  <c r="F50" i="2" s="1"/>
  <c r="C51" i="2" s="1"/>
  <c r="M32" i="1"/>
  <c r="L32" i="1"/>
  <c r="K32" i="1"/>
  <c r="J32" i="1"/>
  <c r="B32" i="1"/>
  <c r="C32" i="1"/>
  <c r="E32" i="1"/>
  <c r="F32" i="1"/>
  <c r="A33" i="1"/>
  <c r="A94" i="2" l="1"/>
  <c r="G94" i="2"/>
  <c r="C33" i="4"/>
  <c r="D51" i="2"/>
  <c r="E51" i="2" s="1"/>
  <c r="F51" i="2" s="1"/>
  <c r="C52" i="2" s="1"/>
  <c r="D52" i="2" s="1"/>
  <c r="E52" i="2" s="1"/>
  <c r="F52" i="2" s="1"/>
  <c r="C53" i="2" s="1"/>
  <c r="D53" i="2" s="1"/>
  <c r="E53" i="2" s="1"/>
  <c r="F53" i="2" s="1"/>
  <c r="C54" i="2" s="1"/>
  <c r="D54" i="2" s="1"/>
  <c r="E54" i="2" s="1"/>
  <c r="F54" i="2" s="1"/>
  <c r="C55" i="2" s="1"/>
  <c r="M33" i="1"/>
  <c r="L33" i="1"/>
  <c r="K33" i="1"/>
  <c r="J33" i="1"/>
  <c r="E33" i="1"/>
  <c r="F33" i="1"/>
  <c r="B33" i="1"/>
  <c r="C33" i="1"/>
  <c r="A34" i="1"/>
  <c r="A95" i="2" l="1"/>
  <c r="G95" i="2"/>
  <c r="C34" i="4"/>
  <c r="D55" i="2"/>
  <c r="E55" i="2" s="1"/>
  <c r="F55" i="2" s="1"/>
  <c r="C56" i="2" s="1"/>
  <c r="D56" i="2" s="1"/>
  <c r="E56" i="2" s="1"/>
  <c r="F56" i="2" s="1"/>
  <c r="C57" i="2" s="1"/>
  <c r="D57" i="2" s="1"/>
  <c r="E57" i="2" s="1"/>
  <c r="F57" i="2" s="1"/>
  <c r="C58" i="2" s="1"/>
  <c r="D58" i="2" s="1"/>
  <c r="E58" i="2" s="1"/>
  <c r="F58" i="2" s="1"/>
  <c r="C59" i="2" s="1"/>
  <c r="A35" i="1"/>
  <c r="M34" i="1"/>
  <c r="L34" i="1"/>
  <c r="K34" i="1"/>
  <c r="J34" i="1"/>
  <c r="B34" i="1"/>
  <c r="E34" i="1"/>
  <c r="F34" i="1"/>
  <c r="C34" i="1"/>
  <c r="A96" i="2" l="1"/>
  <c r="G96" i="2"/>
  <c r="C35" i="4"/>
  <c r="D59" i="2"/>
  <c r="E59" i="2" s="1"/>
  <c r="F59" i="2" s="1"/>
  <c r="C60" i="2" s="1"/>
  <c r="D60" i="2" s="1"/>
  <c r="E60" i="2" s="1"/>
  <c r="F60" i="2" s="1"/>
  <c r="C61" i="2" s="1"/>
  <c r="D61" i="2" s="1"/>
  <c r="E61" i="2" s="1"/>
  <c r="F61" i="2" s="1"/>
  <c r="C62" i="2" s="1"/>
  <c r="D62" i="2" s="1"/>
  <c r="E62" i="2" s="1"/>
  <c r="F62" i="2" s="1"/>
  <c r="C63" i="2" s="1"/>
  <c r="D63" i="2" s="1"/>
  <c r="E63" i="2" s="1"/>
  <c r="F63" i="2" s="1"/>
  <c r="C64" i="2" s="1"/>
  <c r="D64" i="2" s="1"/>
  <c r="E64" i="2" s="1"/>
  <c r="F64" i="2" s="1"/>
  <c r="C65" i="2" s="1"/>
  <c r="D65" i="2" s="1"/>
  <c r="E65" i="2" s="1"/>
  <c r="F65" i="2" s="1"/>
  <c r="C66" i="2" s="1"/>
  <c r="J35" i="1"/>
  <c r="K35" i="1"/>
  <c r="L35" i="1"/>
  <c r="M35" i="1"/>
  <c r="A36" i="1"/>
  <c r="E35" i="1"/>
  <c r="F35" i="1"/>
  <c r="B35" i="1"/>
  <c r="C35" i="1"/>
  <c r="A97" i="2" l="1"/>
  <c r="G97" i="2"/>
  <c r="C36" i="4"/>
  <c r="D66" i="2"/>
  <c r="E66" i="2" s="1"/>
  <c r="F66" i="2" s="1"/>
  <c r="C67" i="2" s="1"/>
  <c r="J36" i="1"/>
  <c r="K36" i="1"/>
  <c r="L36" i="1"/>
  <c r="M36" i="1"/>
  <c r="A37" i="1"/>
  <c r="C36" i="1"/>
  <c r="B36" i="1"/>
  <c r="E36" i="1"/>
  <c r="F36" i="1"/>
  <c r="A98" i="2" l="1"/>
  <c r="G98" i="2"/>
  <c r="C37" i="4"/>
  <c r="D67" i="2"/>
  <c r="E67" i="2" s="1"/>
  <c r="F67" i="2" s="1"/>
  <c r="C68" i="2" s="1"/>
  <c r="F37" i="1"/>
  <c r="E37" i="1"/>
  <c r="C37" i="1"/>
  <c r="B37" i="1"/>
  <c r="A38" i="1"/>
  <c r="J37" i="1"/>
  <c r="K37" i="1"/>
  <c r="L37" i="1"/>
  <c r="M37" i="1"/>
  <c r="A99" i="2" l="1"/>
  <c r="G99" i="2"/>
  <c r="C38" i="4"/>
  <c r="D68" i="2"/>
  <c r="E68" i="2" s="1"/>
  <c r="F68" i="2" s="1"/>
  <c r="C69" i="2" s="1"/>
  <c r="A39" i="1"/>
  <c r="L38" i="1"/>
  <c r="C38" i="1"/>
  <c r="E38" i="1"/>
  <c r="F38" i="1"/>
  <c r="B38" i="1"/>
  <c r="M38" i="1"/>
  <c r="A100" i="2" l="1"/>
  <c r="G100" i="2"/>
  <c r="C39" i="4"/>
  <c r="D69" i="2"/>
  <c r="E69" i="2" s="1"/>
  <c r="F69" i="2" s="1"/>
  <c r="C70" i="2" s="1"/>
  <c r="A40" i="1"/>
  <c r="B39" i="1"/>
  <c r="E39" i="1"/>
  <c r="C39" i="1"/>
  <c r="F39" i="1"/>
  <c r="L39" i="1"/>
  <c r="M39" i="1"/>
  <c r="A101" i="2" l="1"/>
  <c r="G101" i="2"/>
  <c r="C40" i="4"/>
  <c r="D70" i="2"/>
  <c r="E70" i="2" s="1"/>
  <c r="F70" i="2" s="1"/>
  <c r="C71" i="2" s="1"/>
  <c r="E40" i="1"/>
  <c r="F40" i="1"/>
  <c r="M40" i="1"/>
  <c r="A41" i="1"/>
  <c r="C40" i="1"/>
  <c r="L40" i="1"/>
  <c r="B40" i="1"/>
  <c r="A102" i="2" l="1"/>
  <c r="G102" i="2"/>
  <c r="C41" i="4"/>
  <c r="D71" i="2"/>
  <c r="E71" i="2" s="1"/>
  <c r="F71" i="2" s="1"/>
  <c r="C72" i="2" s="1"/>
  <c r="D72" i="2" s="1"/>
  <c r="E72" i="2" s="1"/>
  <c r="F72" i="2" s="1"/>
  <c r="C73" i="2" s="1"/>
  <c r="D73" i="2" s="1"/>
  <c r="E73" i="2" s="1"/>
  <c r="F73" i="2" s="1"/>
  <c r="C74" i="2" s="1"/>
  <c r="D74" i="2" s="1"/>
  <c r="E74" i="2" s="1"/>
  <c r="F74" i="2" s="1"/>
  <c r="C75" i="2" s="1"/>
  <c r="D75" i="2" s="1"/>
  <c r="E75" i="2" s="1"/>
  <c r="F75" i="2" s="1"/>
  <c r="C76" i="2" s="1"/>
  <c r="D76" i="2" s="1"/>
  <c r="E76" i="2" s="1"/>
  <c r="F76" i="2" s="1"/>
  <c r="C77" i="2" s="1"/>
  <c r="B41" i="1"/>
  <c r="A42" i="1"/>
  <c r="C41" i="1"/>
  <c r="F41" i="1"/>
  <c r="M41" i="1"/>
  <c r="L41" i="1"/>
  <c r="E41" i="1"/>
  <c r="A103" i="2" l="1"/>
  <c r="G103" i="2"/>
  <c r="C42" i="4"/>
  <c r="D77" i="2"/>
  <c r="E77" i="2" s="1"/>
  <c r="F77" i="2" s="1"/>
  <c r="C78" i="2" s="1"/>
  <c r="A43" i="1"/>
  <c r="C42" i="1"/>
  <c r="F42" i="1"/>
  <c r="B42" i="1"/>
  <c r="E42" i="1"/>
  <c r="L42" i="1"/>
  <c r="M42" i="1"/>
  <c r="A104" i="2" l="1"/>
  <c r="G104" i="2"/>
  <c r="C43" i="4"/>
  <c r="D78" i="2"/>
  <c r="E78" i="2" s="1"/>
  <c r="F78" i="2" s="1"/>
  <c r="C79" i="2" s="1"/>
  <c r="A44" i="1"/>
  <c r="C43" i="1"/>
  <c r="F43" i="1"/>
  <c r="B43" i="1"/>
  <c r="E43" i="1"/>
  <c r="L43" i="1"/>
  <c r="M43" i="1"/>
  <c r="A105" i="2" l="1"/>
  <c r="G105" i="2"/>
  <c r="C44" i="4"/>
  <c r="D79" i="2"/>
  <c r="E79" i="2" s="1"/>
  <c r="F79" i="2" s="1"/>
  <c r="C80" i="2" s="1"/>
  <c r="C44" i="1"/>
  <c r="F44" i="1"/>
  <c r="E44" i="1"/>
  <c r="B44" i="1"/>
  <c r="A45" i="1"/>
  <c r="A106" i="2" l="1"/>
  <c r="G106" i="2"/>
  <c r="C46" i="4"/>
  <c r="C45" i="4"/>
  <c r="D80" i="2"/>
  <c r="E80" i="2" s="1"/>
  <c r="F80" i="2" s="1"/>
  <c r="C81" i="2" s="1"/>
  <c r="C45" i="1"/>
  <c r="F45" i="1"/>
  <c r="B45" i="1"/>
  <c r="E45" i="1"/>
  <c r="A107" i="2" l="1"/>
  <c r="G107" i="2"/>
  <c r="C47" i="4"/>
  <c r="D81" i="2"/>
  <c r="E81" i="2" s="1"/>
  <c r="F81" i="2" s="1"/>
  <c r="C82" i="2" s="1"/>
  <c r="A108" i="2" l="1"/>
  <c r="G108" i="2"/>
  <c r="C48" i="4"/>
  <c r="D82" i="2"/>
  <c r="E82" i="2" s="1"/>
  <c r="F82" i="2" s="1"/>
  <c r="C83" i="2" s="1"/>
  <c r="A109" i="2" l="1"/>
  <c r="G109" i="2"/>
  <c r="C49" i="4"/>
  <c r="D83" i="2"/>
  <c r="E83" i="2" s="1"/>
  <c r="F83" i="2" s="1"/>
  <c r="C84" i="2" s="1"/>
  <c r="D84" i="2" s="1"/>
  <c r="E84" i="2" s="1"/>
  <c r="F84" i="2" s="1"/>
  <c r="C85" i="2" s="1"/>
  <c r="D85" i="2" s="1"/>
  <c r="E85" i="2" s="1"/>
  <c r="F85" i="2" s="1"/>
  <c r="C86" i="2" s="1"/>
  <c r="D86" i="2" s="1"/>
  <c r="E86" i="2" s="1"/>
  <c r="F86" i="2" s="1"/>
  <c r="C87" i="2" s="1"/>
  <c r="D87" i="2" s="1"/>
  <c r="E87" i="2" s="1"/>
  <c r="F87" i="2" s="1"/>
  <c r="C88" i="2" s="1"/>
  <c r="D88" i="2" s="1"/>
  <c r="E88" i="2" s="1"/>
  <c r="F88" i="2" s="1"/>
  <c r="C89" i="2" s="1"/>
  <c r="D89" i="2" s="1"/>
  <c r="E89" i="2" s="1"/>
  <c r="F89" i="2" s="1"/>
  <c r="C90" i="2" s="1"/>
  <c r="D90" i="2" s="1"/>
  <c r="E90" i="2" s="1"/>
  <c r="F90" i="2" s="1"/>
  <c r="C91" i="2" s="1"/>
  <c r="D91" i="2" s="1"/>
  <c r="E91" i="2" s="1"/>
  <c r="F91" i="2" s="1"/>
  <c r="C92" i="2" s="1"/>
  <c r="D92" i="2" s="1"/>
  <c r="E92" i="2" s="1"/>
  <c r="F92" i="2" s="1"/>
  <c r="C93" i="2" s="1"/>
  <c r="D93" i="2" s="1"/>
  <c r="E93" i="2" s="1"/>
  <c r="F93" i="2" s="1"/>
  <c r="C94" i="2" s="1"/>
  <c r="D94" i="2" s="1"/>
  <c r="E94" i="2" s="1"/>
  <c r="F94" i="2" s="1"/>
  <c r="C95" i="2" s="1"/>
  <c r="D95" i="2" s="1"/>
  <c r="E95" i="2" s="1"/>
  <c r="F95" i="2" s="1"/>
  <c r="C96" i="2" s="1"/>
  <c r="D96" i="2" s="1"/>
  <c r="E96" i="2" s="1"/>
  <c r="F96" i="2" s="1"/>
  <c r="C97" i="2" s="1"/>
  <c r="D97" i="2" s="1"/>
  <c r="E97" i="2" s="1"/>
  <c r="F97" i="2" s="1"/>
  <c r="C98" i="2" s="1"/>
  <c r="D98" i="2" s="1"/>
  <c r="E98" i="2" s="1"/>
  <c r="F98" i="2" s="1"/>
  <c r="C99" i="2" s="1"/>
  <c r="D99" i="2" s="1"/>
  <c r="E99" i="2" s="1"/>
  <c r="F99" i="2" s="1"/>
  <c r="C100" i="2" s="1"/>
  <c r="D100" i="2" s="1"/>
  <c r="E100" i="2" s="1"/>
  <c r="F100" i="2" s="1"/>
  <c r="C101" i="2" s="1"/>
  <c r="D101" i="2" s="1"/>
  <c r="E101" i="2" s="1"/>
  <c r="F101" i="2" s="1"/>
  <c r="C102" i="2" s="1"/>
  <c r="D102" i="2" s="1"/>
  <c r="E102" i="2" s="1"/>
  <c r="F102" i="2" s="1"/>
  <c r="C103" i="2" s="1"/>
  <c r="D103" i="2" s="1"/>
  <c r="E103" i="2" s="1"/>
  <c r="F103" i="2" s="1"/>
  <c r="C104" i="2" s="1"/>
  <c r="D104" i="2" s="1"/>
  <c r="E104" i="2" s="1"/>
  <c r="F104" i="2" s="1"/>
  <c r="C105" i="2" s="1"/>
  <c r="D105" i="2" s="1"/>
  <c r="E105" i="2" s="1"/>
  <c r="F105" i="2" s="1"/>
  <c r="C106" i="2" s="1"/>
  <c r="D106" i="2" s="1"/>
  <c r="E106" i="2" s="1"/>
  <c r="F106" i="2" s="1"/>
  <c r="C107" i="2" s="1"/>
  <c r="D107" i="2" s="1"/>
  <c r="E107" i="2" s="1"/>
  <c r="F107" i="2" s="1"/>
  <c r="C108" i="2" s="1"/>
  <c r="D108" i="2" s="1"/>
  <c r="E108" i="2" s="1"/>
  <c r="F108" i="2" s="1"/>
  <c r="C109" i="2" s="1"/>
  <c r="D109" i="2" s="1"/>
  <c r="E109" i="2" s="1"/>
  <c r="F109" i="2" s="1"/>
  <c r="A110" i="2" l="1"/>
  <c r="G110" i="2"/>
  <c r="C50" i="4"/>
  <c r="A111" i="2" l="1"/>
  <c r="G111" i="2"/>
  <c r="C110" i="2"/>
  <c r="D110" i="2" s="1"/>
  <c r="E110" i="2" s="1"/>
  <c r="F110" i="2" s="1"/>
  <c r="C111" i="2" s="1"/>
  <c r="D111" i="2" s="1"/>
  <c r="E111" i="2" s="1"/>
  <c r="F111" i="2" s="1"/>
  <c r="C51" i="4"/>
  <c r="A112" i="2" l="1"/>
  <c r="G112" i="2"/>
  <c r="C53" i="4"/>
  <c r="C52" i="4"/>
  <c r="A113" i="2" l="1"/>
  <c r="G113" i="2"/>
  <c r="C112" i="2"/>
  <c r="D112" i="2" s="1"/>
  <c r="E112" i="2" s="1"/>
  <c r="F112" i="2" s="1"/>
  <c r="C113" i="2" s="1"/>
  <c r="D113" i="2" s="1"/>
  <c r="E113" i="2" s="1"/>
  <c r="F113" i="2" s="1"/>
  <c r="A114" i="2" l="1"/>
  <c r="G114" i="2"/>
  <c r="A115" i="2" l="1"/>
  <c r="G115" i="2"/>
  <c r="C114" i="2"/>
  <c r="D114" i="2" s="1"/>
  <c r="E114" i="2" s="1"/>
  <c r="F114" i="2" s="1"/>
  <c r="C115" i="2" s="1"/>
  <c r="D115" i="2" s="1"/>
  <c r="E115" i="2" s="1"/>
  <c r="F115" i="2" s="1"/>
  <c r="A116" i="2" l="1"/>
  <c r="G116" i="2"/>
  <c r="A117" i="2" l="1"/>
  <c r="G117" i="2"/>
  <c r="C116" i="2"/>
  <c r="D116" i="2" s="1"/>
  <c r="E116" i="2" s="1"/>
  <c r="F116" i="2" s="1"/>
  <c r="C117" i="2" s="1"/>
  <c r="D117" i="2" s="1"/>
  <c r="E117" i="2" s="1"/>
  <c r="F117" i="2" s="1"/>
</calcChain>
</file>

<file path=xl/sharedStrings.xml><?xml version="1.0" encoding="utf-8"?>
<sst xmlns="http://schemas.openxmlformats.org/spreadsheetml/2006/main" count="194" uniqueCount="97">
  <si>
    <t>Retention Curve Models</t>
  </si>
  <si>
    <t>Hydrology Textbook</t>
  </si>
  <si>
    <t>Water content</t>
  </si>
  <si>
    <t>Brooks</t>
  </si>
  <si>
    <t>Campbell</t>
  </si>
  <si>
    <t>b</t>
  </si>
  <si>
    <t>Psi (cm)</t>
  </si>
  <si>
    <t>theta_residual</t>
  </si>
  <si>
    <t>Federer 2003</t>
  </si>
  <si>
    <t>Clapp and Hornberger, 1978</t>
  </si>
  <si>
    <t>48 hours drainage</t>
  </si>
  <si>
    <t>-2 MPa</t>
  </si>
  <si>
    <t>Soil texture</t>
  </si>
  <si>
    <t>porosity</t>
  </si>
  <si>
    <t>air-entry (cm)</t>
  </si>
  <si>
    <t>air-entry (Pa)</t>
  </si>
  <si>
    <t>S_fc (-33 kPa)</t>
  </si>
  <si>
    <t>Sw (-1.5 MPa)</t>
  </si>
  <si>
    <t>theta_fc</t>
  </si>
  <si>
    <t>theta(-1.5 MPa)</t>
  </si>
  <si>
    <t>theta_wilt</t>
  </si>
  <si>
    <t>Sand</t>
  </si>
  <si>
    <t>Loamy sand</t>
  </si>
  <si>
    <t>Sandy loam</t>
  </si>
  <si>
    <t>Silt loam</t>
  </si>
  <si>
    <t>Loam</t>
  </si>
  <si>
    <t>Sandy clay loam</t>
  </si>
  <si>
    <t>Silty clay loam</t>
  </si>
  <si>
    <t>Clay loam</t>
  </si>
  <si>
    <t>Silty clay</t>
  </si>
  <si>
    <t>Clay</t>
  </si>
  <si>
    <t>2 Mpa is equivalent to 20,400 cm</t>
  </si>
  <si>
    <t>2b+3</t>
  </si>
  <si>
    <t>Ksat (cm/s)</t>
  </si>
  <si>
    <t>K (cm/s)</t>
  </si>
  <si>
    <t>Ksat (cm/day)</t>
  </si>
  <si>
    <t>Ksat (cm/min)</t>
  </si>
  <si>
    <t>cm/min</t>
  </si>
  <si>
    <t>Ksat (mm/hr)</t>
  </si>
  <si>
    <t>r(t), mm/hr</t>
  </si>
  <si>
    <t>i_pot(t), mm/hr</t>
  </si>
  <si>
    <t>theta_initial</t>
  </si>
  <si>
    <t>Psi_front</t>
  </si>
  <si>
    <t>cm</t>
  </si>
  <si>
    <t>Psi_ae (cm)</t>
  </si>
  <si>
    <t>Silty clay, Campbell</t>
  </si>
  <si>
    <t>i_act (mm/hr)</t>
  </si>
  <si>
    <t>time (hr)</t>
  </si>
  <si>
    <t>I(t), mm</t>
  </si>
  <si>
    <t>Lf(t), mm</t>
  </si>
  <si>
    <t>Ksat(mm/hr)</t>
  </si>
  <si>
    <t>field capacity</t>
  </si>
  <si>
    <t>wilting</t>
  </si>
  <si>
    <r>
      <t xml:space="preserve">water content, </t>
    </r>
    <r>
      <rPr>
        <sz val="12"/>
        <color theme="1"/>
        <rFont val="Symbol"/>
        <charset val="2"/>
      </rPr>
      <t>q</t>
    </r>
  </si>
  <si>
    <t>van G</t>
  </si>
  <si>
    <t>alpha</t>
  </si>
  <si>
    <t>m</t>
  </si>
  <si>
    <t>n</t>
  </si>
  <si>
    <r>
      <t xml:space="preserve">(at </t>
    </r>
    <r>
      <rPr>
        <sz val="12"/>
        <color theme="1"/>
        <rFont val="Symbol"/>
        <charset val="2"/>
      </rPr>
      <t>Y</t>
    </r>
    <r>
      <rPr>
        <sz val="12"/>
        <color theme="1"/>
        <rFont val="Aptos Narrow"/>
        <family val="2"/>
        <scheme val="minor"/>
      </rPr>
      <t xml:space="preserve"> = -340 cm)</t>
    </r>
  </si>
  <si>
    <r>
      <t xml:space="preserve">(at </t>
    </r>
    <r>
      <rPr>
        <sz val="12"/>
        <color theme="1"/>
        <rFont val="Symbol"/>
        <charset val="2"/>
      </rPr>
      <t>Y</t>
    </r>
    <r>
      <rPr>
        <sz val="12"/>
        <color theme="1"/>
        <rFont val="Aptos Narrow"/>
        <family val="2"/>
        <scheme val="minor"/>
      </rPr>
      <t xml:space="preserve"> = -15,300 cm)</t>
    </r>
  </si>
  <si>
    <t># of soils</t>
  </si>
  <si>
    <t>4.05 (1.78)</t>
  </si>
  <si>
    <t>-12.1 (14.3)</t>
  </si>
  <si>
    <t>-21.8 (31.0)</t>
  </si>
  <si>
    <t>-78.6 (51.2)</t>
  </si>
  <si>
    <t>-47.8 (51.2)</t>
  </si>
  <si>
    <t>-29.9 (37.8)</t>
  </si>
  <si>
    <t>-35.6 (37.8)</t>
  </si>
  <si>
    <t>-63.0 (51.0)</t>
  </si>
  <si>
    <t>-9.0 (12.4)</t>
  </si>
  <si>
    <t>-15.3 (17.3)</t>
  </si>
  <si>
    <t>-49.0 (62.1)</t>
  </si>
  <si>
    <t>-40.5 (39.7)</t>
  </si>
  <si>
    <t>4.38 (1.47)</t>
  </si>
  <si>
    <t>4.90 (1.75)</t>
  </si>
  <si>
    <t>5.30 (1.96)</t>
  </si>
  <si>
    <t>5.39 (1.87)</t>
  </si>
  <si>
    <t>7.12 (2.43)</t>
  </si>
  <si>
    <t>7.75 (2.77)</t>
  </si>
  <si>
    <t>8.52 (3.44)</t>
  </si>
  <si>
    <t>10.4 (1.64)</t>
  </si>
  <si>
    <t>10.4 (4.45)</t>
  </si>
  <si>
    <t>11.4 (3.70)</t>
  </si>
  <si>
    <r>
      <t>K</t>
    </r>
    <r>
      <rPr>
        <vertAlign val="subscript"/>
        <sz val="12"/>
        <color theme="1"/>
        <rFont val="Aptos Narrow (Body)"/>
      </rPr>
      <t>sat</t>
    </r>
  </si>
  <si>
    <t>(mm/hr)</t>
  </si>
  <si>
    <t>(cm)</t>
  </si>
  <si>
    <r>
      <rPr>
        <sz val="12"/>
        <color theme="1"/>
        <rFont val="Symbol"/>
        <charset val="2"/>
      </rPr>
      <t>Y</t>
    </r>
    <r>
      <rPr>
        <vertAlign val="subscript"/>
        <sz val="12"/>
        <color theme="1"/>
        <rFont val="Aptos Narrow (Body)"/>
      </rPr>
      <t>ae</t>
    </r>
  </si>
  <si>
    <t>residual</t>
  </si>
  <si>
    <t>Field capacity</t>
  </si>
  <si>
    <t>Wilting</t>
  </si>
  <si>
    <t>Air-entry</t>
  </si>
  <si>
    <t>i_pot(mm/hr)</t>
  </si>
  <si>
    <t>Horton</t>
  </si>
  <si>
    <t>fc = Ksat</t>
  </si>
  <si>
    <t>beta (hr-1)</t>
  </si>
  <si>
    <t>f0 (mm/hr)</t>
  </si>
  <si>
    <t>Saturation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</si>
</sst>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Symbol"/>
      <charset val="2"/>
    </font>
    <font>
      <vertAlign val="subscript"/>
      <sz val="12"/>
      <color theme="1"/>
      <name val="Aptos Narrow (Body)"/>
    </font>
    <font>
      <sz val="12"/>
      <color theme="1"/>
      <name val="Aptos Narrow"/>
      <family val="2"/>
      <charset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7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11" fontId="0" fillId="0" borderId="0" xfId="0" applyNumberFormat="1"/>
    <xf numFmtId="0" fontId="0" fillId="2" borderId="0" xfId="0" applyFill="1"/>
    <xf numFmtId="1" fontId="1" fillId="0" borderId="0" xfId="0" applyNumberFormat="1" applyFont="1"/>
    <xf numFmtId="164" fontId="1" fillId="0" borderId="0" xfId="0" applyNumberFormat="1" applyFont="1"/>
    <xf numFmtId="2" fontId="1" fillId="0" borderId="0" xfId="0" applyNumberFormat="1" applyFont="1"/>
    <xf numFmtId="1" fontId="0" fillId="0" borderId="0" xfId="0" applyNumberFormat="1"/>
    <xf numFmtId="0" fontId="0" fillId="0" borderId="0" xfId="0" quotePrefix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quotePrefix="1" applyNumberForma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Campbell</a:t>
            </a:r>
            <a:r>
              <a:rPr lang="en-US" baseline="0"/>
              <a:t>, Brooks-Corey, and van Genuchten Retention Curves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Sandy loam, Brooks-Corey</c:v>
          </c:tx>
          <c:spPr>
            <a:ln w="254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RetentionCurves!$A$17:$A$45</c:f>
              <c:numCache>
                <c:formatCode>General</c:formatCode>
                <c:ptCount val="29"/>
                <c:pt idx="0">
                  <c:v>7.0000000000000007E-2</c:v>
                </c:pt>
                <c:pt idx="1">
                  <c:v>9.0000000000000011E-2</c:v>
                </c:pt>
                <c:pt idx="2">
                  <c:v>0.11000000000000001</c:v>
                </c:pt>
                <c:pt idx="3">
                  <c:v>0.13</c:v>
                </c:pt>
                <c:pt idx="4">
                  <c:v>0.15</c:v>
                </c:pt>
                <c:pt idx="5">
                  <c:v>0.16999999999999998</c:v>
                </c:pt>
                <c:pt idx="6">
                  <c:v>0.18999999999999997</c:v>
                </c:pt>
                <c:pt idx="7">
                  <c:v>0.20999999999999996</c:v>
                </c:pt>
                <c:pt idx="8">
                  <c:v>0.22999999999999995</c:v>
                </c:pt>
                <c:pt idx="9">
                  <c:v>0.24999999999999994</c:v>
                </c:pt>
                <c:pt idx="10">
                  <c:v>0.26999999999999996</c:v>
                </c:pt>
                <c:pt idx="11">
                  <c:v>0.28999999999999998</c:v>
                </c:pt>
                <c:pt idx="12">
                  <c:v>0.31</c:v>
                </c:pt>
                <c:pt idx="13">
                  <c:v>0.33</c:v>
                </c:pt>
                <c:pt idx="14">
                  <c:v>0.35000000000000003</c:v>
                </c:pt>
                <c:pt idx="15">
                  <c:v>0.37000000000000005</c:v>
                </c:pt>
                <c:pt idx="16">
                  <c:v>0.39000000000000007</c:v>
                </c:pt>
                <c:pt idx="17">
                  <c:v>0.41000000000000009</c:v>
                </c:pt>
                <c:pt idx="18">
                  <c:v>0.4200000000000001</c:v>
                </c:pt>
                <c:pt idx="19">
                  <c:v>0.4300000000000001</c:v>
                </c:pt>
                <c:pt idx="20">
                  <c:v>0.44000000000000011</c:v>
                </c:pt>
                <c:pt idx="21">
                  <c:v>0.45000000000000012</c:v>
                </c:pt>
                <c:pt idx="22">
                  <c:v>0.46000000000000013</c:v>
                </c:pt>
                <c:pt idx="23">
                  <c:v>0.47000000000000014</c:v>
                </c:pt>
                <c:pt idx="24">
                  <c:v>0.48000000000000015</c:v>
                </c:pt>
                <c:pt idx="25">
                  <c:v>0.49000000000000016</c:v>
                </c:pt>
                <c:pt idx="26">
                  <c:v>0.50000000000000011</c:v>
                </c:pt>
                <c:pt idx="27">
                  <c:v>0.51000000000000012</c:v>
                </c:pt>
                <c:pt idx="28">
                  <c:v>0.52000000000000013</c:v>
                </c:pt>
              </c:numCache>
            </c:numRef>
          </c:xVal>
          <c:yVal>
            <c:numRef>
              <c:f>RetentionCurves!$B$17:$B$45</c:f>
              <c:numCache>
                <c:formatCode>0.00E+00</c:formatCode>
                <c:ptCount val="29"/>
                <c:pt idx="0">
                  <c:v>30003950.323354445</c:v>
                </c:pt>
                <c:pt idx="1">
                  <c:v>413433.38603034586</c:v>
                </c:pt>
                <c:pt idx="2">
                  <c:v>56389.133467654501</c:v>
                </c:pt>
                <c:pt idx="3">
                  <c:v>15180.849741550013</c:v>
                </c:pt>
                <c:pt idx="4">
                  <c:v>5696.8220131824064</c:v>
                </c:pt>
                <c:pt idx="5">
                  <c:v>2604.6355607309606</c:v>
                </c:pt>
                <c:pt idx="6">
                  <c:v>1357.686075088335</c:v>
                </c:pt>
                <c:pt idx="7">
                  <c:v>777.00269909802716</c:v>
                </c:pt>
                <c:pt idx="8">
                  <c:v>476.90035351629939</c:v>
                </c:pt>
                <c:pt idx="9">
                  <c:v>309.05757600501119</c:v>
                </c:pt>
                <c:pt idx="10">
                  <c:v>209.18145923543949</c:v>
                </c:pt>
                <c:pt idx="11">
                  <c:v>146.70329801887883</c:v>
                </c:pt>
                <c:pt idx="12">
                  <c:v>105.97719096868116</c:v>
                </c:pt>
                <c:pt idx="13">
                  <c:v>78.498210706905738</c:v>
                </c:pt>
                <c:pt idx="14">
                  <c:v>59.405443967621558</c:v>
                </c:pt>
                <c:pt idx="15">
                  <c:v>45.800248227084758</c:v>
                </c:pt>
                <c:pt idx="16">
                  <c:v>35.890050731414988</c:v>
                </c:pt>
                <c:pt idx="17">
                  <c:v>28.530741885756004</c:v>
                </c:pt>
                <c:pt idx="18">
                  <c:v>25.562226856459059</c:v>
                </c:pt>
                <c:pt idx="19">
                  <c:v>22.971624780445769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D7-3740-8EB6-F2382EEAE07F}"/>
            </c:ext>
          </c:extLst>
        </c:ser>
        <c:ser>
          <c:idx val="1"/>
          <c:order val="1"/>
          <c:tx>
            <c:v>Sandy loam, Campbell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RetentionCurves!$A$17:$A$45</c:f>
              <c:numCache>
                <c:formatCode>General</c:formatCode>
                <c:ptCount val="29"/>
                <c:pt idx="0">
                  <c:v>7.0000000000000007E-2</c:v>
                </c:pt>
                <c:pt idx="1">
                  <c:v>9.0000000000000011E-2</c:v>
                </c:pt>
                <c:pt idx="2">
                  <c:v>0.11000000000000001</c:v>
                </c:pt>
                <c:pt idx="3">
                  <c:v>0.13</c:v>
                </c:pt>
                <c:pt idx="4">
                  <c:v>0.15</c:v>
                </c:pt>
                <c:pt idx="5">
                  <c:v>0.16999999999999998</c:v>
                </c:pt>
                <c:pt idx="6">
                  <c:v>0.18999999999999997</c:v>
                </c:pt>
                <c:pt idx="7">
                  <c:v>0.20999999999999996</c:v>
                </c:pt>
                <c:pt idx="8">
                  <c:v>0.22999999999999995</c:v>
                </c:pt>
                <c:pt idx="9">
                  <c:v>0.24999999999999994</c:v>
                </c:pt>
                <c:pt idx="10">
                  <c:v>0.26999999999999996</c:v>
                </c:pt>
                <c:pt idx="11">
                  <c:v>0.28999999999999998</c:v>
                </c:pt>
                <c:pt idx="12">
                  <c:v>0.31</c:v>
                </c:pt>
                <c:pt idx="13">
                  <c:v>0.33</c:v>
                </c:pt>
                <c:pt idx="14">
                  <c:v>0.35000000000000003</c:v>
                </c:pt>
                <c:pt idx="15">
                  <c:v>0.37000000000000005</c:v>
                </c:pt>
                <c:pt idx="16">
                  <c:v>0.39000000000000007</c:v>
                </c:pt>
                <c:pt idx="17">
                  <c:v>0.41000000000000009</c:v>
                </c:pt>
                <c:pt idx="18">
                  <c:v>0.4200000000000001</c:v>
                </c:pt>
                <c:pt idx="19">
                  <c:v>0.4300000000000001</c:v>
                </c:pt>
                <c:pt idx="20">
                  <c:v>0.44000000000000011</c:v>
                </c:pt>
                <c:pt idx="21">
                  <c:v>0.45000000000000012</c:v>
                </c:pt>
                <c:pt idx="22">
                  <c:v>0.46000000000000013</c:v>
                </c:pt>
                <c:pt idx="23">
                  <c:v>0.47000000000000014</c:v>
                </c:pt>
                <c:pt idx="24">
                  <c:v>0.48000000000000015</c:v>
                </c:pt>
                <c:pt idx="25">
                  <c:v>0.49000000000000016</c:v>
                </c:pt>
                <c:pt idx="26">
                  <c:v>0.50000000000000011</c:v>
                </c:pt>
                <c:pt idx="27">
                  <c:v>0.51000000000000012</c:v>
                </c:pt>
                <c:pt idx="28">
                  <c:v>0.52000000000000013</c:v>
                </c:pt>
              </c:numCache>
            </c:numRef>
          </c:xVal>
          <c:yVal>
            <c:numRef>
              <c:f>RetentionCurves!$C$17:$C$45</c:f>
              <c:numCache>
                <c:formatCode>0.00E+00</c:formatCode>
                <c:ptCount val="29"/>
                <c:pt idx="0">
                  <c:v>168295.86928015013</c:v>
                </c:pt>
                <c:pt idx="1">
                  <c:v>49120.81415553335</c:v>
                </c:pt>
                <c:pt idx="2">
                  <c:v>18375.099329376058</c:v>
                </c:pt>
                <c:pt idx="3">
                  <c:v>8104.5970353137436</c:v>
                </c:pt>
                <c:pt idx="4">
                  <c:v>4019.82070976665</c:v>
                </c:pt>
                <c:pt idx="5">
                  <c:v>2176.978489928531</c:v>
                </c:pt>
                <c:pt idx="6">
                  <c:v>1262.2960058169654</c:v>
                </c:pt>
                <c:pt idx="7">
                  <c:v>772.99966994961483</c:v>
                </c:pt>
                <c:pt idx="8">
                  <c:v>494.97977760252581</c:v>
                </c:pt>
                <c:pt idx="9">
                  <c:v>328.96357310984462</c:v>
                </c:pt>
                <c:pt idx="10">
                  <c:v>225.61678603458225</c:v>
                </c:pt>
                <c:pt idx="11">
                  <c:v>158.96578645302179</c:v>
                </c:pt>
                <c:pt idx="12">
                  <c:v>114.65197832318474</c:v>
                </c:pt>
                <c:pt idx="13">
                  <c:v>84.398659204491608</c:v>
                </c:pt>
                <c:pt idx="14">
                  <c:v>63.258725151977373</c:v>
                </c:pt>
                <c:pt idx="15">
                  <c:v>48.179845694900443</c:v>
                </c:pt>
                <c:pt idx="16">
                  <c:v>37.225220441646663</c:v>
                </c:pt>
                <c:pt idx="17">
                  <c:v>29.134861288963034</c:v>
                </c:pt>
                <c:pt idx="18">
                  <c:v>25.890016650040895</c:v>
                </c:pt>
                <c:pt idx="19">
                  <c:v>23.070575081700841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D7-3740-8EB6-F2382EEAE07F}"/>
            </c:ext>
          </c:extLst>
        </c:ser>
        <c:ser>
          <c:idx val="4"/>
          <c:order val="2"/>
          <c:tx>
            <c:v>Sandy loam, van Genuchten</c:v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RetentionCurves!$A$17:$A$45</c:f>
              <c:numCache>
                <c:formatCode>General</c:formatCode>
                <c:ptCount val="29"/>
                <c:pt idx="0">
                  <c:v>7.0000000000000007E-2</c:v>
                </c:pt>
                <c:pt idx="1">
                  <c:v>9.0000000000000011E-2</c:v>
                </c:pt>
                <c:pt idx="2">
                  <c:v>0.11000000000000001</c:v>
                </c:pt>
                <c:pt idx="3">
                  <c:v>0.13</c:v>
                </c:pt>
                <c:pt idx="4">
                  <c:v>0.15</c:v>
                </c:pt>
                <c:pt idx="5">
                  <c:v>0.16999999999999998</c:v>
                </c:pt>
                <c:pt idx="6">
                  <c:v>0.18999999999999997</c:v>
                </c:pt>
                <c:pt idx="7">
                  <c:v>0.20999999999999996</c:v>
                </c:pt>
                <c:pt idx="8">
                  <c:v>0.22999999999999995</c:v>
                </c:pt>
                <c:pt idx="9">
                  <c:v>0.24999999999999994</c:v>
                </c:pt>
                <c:pt idx="10">
                  <c:v>0.26999999999999996</c:v>
                </c:pt>
                <c:pt idx="11">
                  <c:v>0.28999999999999998</c:v>
                </c:pt>
                <c:pt idx="12">
                  <c:v>0.31</c:v>
                </c:pt>
                <c:pt idx="13">
                  <c:v>0.33</c:v>
                </c:pt>
                <c:pt idx="14">
                  <c:v>0.35000000000000003</c:v>
                </c:pt>
                <c:pt idx="15">
                  <c:v>0.37000000000000005</c:v>
                </c:pt>
                <c:pt idx="16">
                  <c:v>0.39000000000000007</c:v>
                </c:pt>
                <c:pt idx="17">
                  <c:v>0.41000000000000009</c:v>
                </c:pt>
                <c:pt idx="18">
                  <c:v>0.4200000000000001</c:v>
                </c:pt>
                <c:pt idx="19">
                  <c:v>0.4300000000000001</c:v>
                </c:pt>
                <c:pt idx="20">
                  <c:v>0.44000000000000011</c:v>
                </c:pt>
                <c:pt idx="21">
                  <c:v>0.45000000000000012</c:v>
                </c:pt>
                <c:pt idx="22">
                  <c:v>0.46000000000000013</c:v>
                </c:pt>
                <c:pt idx="23">
                  <c:v>0.47000000000000014</c:v>
                </c:pt>
                <c:pt idx="24">
                  <c:v>0.48000000000000015</c:v>
                </c:pt>
                <c:pt idx="25">
                  <c:v>0.49000000000000016</c:v>
                </c:pt>
                <c:pt idx="26">
                  <c:v>0.50000000000000011</c:v>
                </c:pt>
                <c:pt idx="27">
                  <c:v>0.51000000000000012</c:v>
                </c:pt>
                <c:pt idx="28">
                  <c:v>0.52000000000000013</c:v>
                </c:pt>
              </c:numCache>
            </c:numRef>
          </c:xVal>
          <c:yVal>
            <c:numRef>
              <c:f>RetentionCurves!$D$17:$D$45</c:f>
              <c:numCache>
                <c:formatCode>0.00E+00</c:formatCode>
                <c:ptCount val="29"/>
                <c:pt idx="0">
                  <c:v>7060424.8248849949</c:v>
                </c:pt>
                <c:pt idx="1">
                  <c:v>181309.60226952386</c:v>
                </c:pt>
                <c:pt idx="2">
                  <c:v>33027.593081823252</c:v>
                </c:pt>
                <c:pt idx="3">
                  <c:v>10754.878973759694</c:v>
                </c:pt>
                <c:pt idx="4">
                  <c:v>4648.7159826345487</c:v>
                </c:pt>
                <c:pt idx="5">
                  <c:v>2376.1534772636155</c:v>
                </c:pt>
                <c:pt idx="6">
                  <c:v>1356.0622764555451</c:v>
                </c:pt>
                <c:pt idx="7">
                  <c:v>835.92081677161877</c:v>
                </c:pt>
                <c:pt idx="8">
                  <c:v>544.89883109658854</c:v>
                </c:pt>
                <c:pt idx="9">
                  <c:v>370.07515265634055</c:v>
                </c:pt>
                <c:pt idx="10">
                  <c:v>258.93575872383428</c:v>
                </c:pt>
                <c:pt idx="11">
                  <c:v>184.90324970973123</c:v>
                </c:pt>
                <c:pt idx="12">
                  <c:v>133.58312842876535</c:v>
                </c:pt>
                <c:pt idx="13">
                  <c:v>96.728828883895829</c:v>
                </c:pt>
                <c:pt idx="14">
                  <c:v>69.380034253907738</c:v>
                </c:pt>
                <c:pt idx="15">
                  <c:v>48.410560270401859</c:v>
                </c:pt>
                <c:pt idx="16">
                  <c:v>31.733336760544127</c:v>
                </c:pt>
                <c:pt idx="17">
                  <c:v>17.777782087816924</c:v>
                </c:pt>
                <c:pt idx="18">
                  <c:v>11.307423064517826</c:v>
                </c:pt>
                <c:pt idx="19">
                  <c:v>4.587445832280995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35-BC42-A506-607139952B62}"/>
            </c:ext>
          </c:extLst>
        </c:ser>
        <c:ser>
          <c:idx val="2"/>
          <c:order val="3"/>
          <c:tx>
            <c:v>Silty clay, Brooks-Corey</c:v>
          </c:tx>
          <c:spPr>
            <a:ln w="2540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RetentionCurves!$A$17:$A$45</c:f>
              <c:numCache>
                <c:formatCode>General</c:formatCode>
                <c:ptCount val="29"/>
                <c:pt idx="0">
                  <c:v>7.0000000000000007E-2</c:v>
                </c:pt>
                <c:pt idx="1">
                  <c:v>9.0000000000000011E-2</c:v>
                </c:pt>
                <c:pt idx="2">
                  <c:v>0.11000000000000001</c:v>
                </c:pt>
                <c:pt idx="3">
                  <c:v>0.13</c:v>
                </c:pt>
                <c:pt idx="4">
                  <c:v>0.15</c:v>
                </c:pt>
                <c:pt idx="5">
                  <c:v>0.16999999999999998</c:v>
                </c:pt>
                <c:pt idx="6">
                  <c:v>0.18999999999999997</c:v>
                </c:pt>
                <c:pt idx="7">
                  <c:v>0.20999999999999996</c:v>
                </c:pt>
                <c:pt idx="8">
                  <c:v>0.22999999999999995</c:v>
                </c:pt>
                <c:pt idx="9">
                  <c:v>0.24999999999999994</c:v>
                </c:pt>
                <c:pt idx="10">
                  <c:v>0.26999999999999996</c:v>
                </c:pt>
                <c:pt idx="11">
                  <c:v>0.28999999999999998</c:v>
                </c:pt>
                <c:pt idx="12">
                  <c:v>0.31</c:v>
                </c:pt>
                <c:pt idx="13">
                  <c:v>0.33</c:v>
                </c:pt>
                <c:pt idx="14">
                  <c:v>0.35000000000000003</c:v>
                </c:pt>
                <c:pt idx="15">
                  <c:v>0.37000000000000005</c:v>
                </c:pt>
                <c:pt idx="16">
                  <c:v>0.39000000000000007</c:v>
                </c:pt>
                <c:pt idx="17">
                  <c:v>0.41000000000000009</c:v>
                </c:pt>
                <c:pt idx="18">
                  <c:v>0.4200000000000001</c:v>
                </c:pt>
                <c:pt idx="19">
                  <c:v>0.4300000000000001</c:v>
                </c:pt>
                <c:pt idx="20">
                  <c:v>0.44000000000000011</c:v>
                </c:pt>
                <c:pt idx="21">
                  <c:v>0.45000000000000012</c:v>
                </c:pt>
                <c:pt idx="22">
                  <c:v>0.46000000000000013</c:v>
                </c:pt>
                <c:pt idx="23">
                  <c:v>0.47000000000000014</c:v>
                </c:pt>
                <c:pt idx="24">
                  <c:v>0.48000000000000015</c:v>
                </c:pt>
                <c:pt idx="25">
                  <c:v>0.49000000000000016</c:v>
                </c:pt>
                <c:pt idx="26">
                  <c:v>0.50000000000000011</c:v>
                </c:pt>
                <c:pt idx="27">
                  <c:v>0.51000000000000012</c:v>
                </c:pt>
                <c:pt idx="28">
                  <c:v>0.52000000000000013</c:v>
                </c:pt>
              </c:numCache>
            </c:numRef>
          </c:xVal>
          <c:yVal>
            <c:numRef>
              <c:f>RetentionCurves!$E$17:$E$45</c:f>
              <c:numCache>
                <c:formatCode>0.00E+00</c:formatCode>
                <c:ptCount val="29"/>
                <c:pt idx="9">
                  <c:v>112225981.67888664</c:v>
                </c:pt>
                <c:pt idx="10">
                  <c:v>651942.45535122172</c:v>
                </c:pt>
                <c:pt idx="11">
                  <c:v>64848.16664243026</c:v>
                </c:pt>
                <c:pt idx="12">
                  <c:v>14382.171238865591</c:v>
                </c:pt>
                <c:pt idx="13">
                  <c:v>4692.9337713244195</c:v>
                </c:pt>
                <c:pt idx="14">
                  <c:v>1923.4631197221759</c:v>
                </c:pt>
                <c:pt idx="15">
                  <c:v>916.57019175818289</c:v>
                </c:pt>
                <c:pt idx="16">
                  <c:v>486.1170721702095</c:v>
                </c:pt>
                <c:pt idx="17">
                  <c:v>279.29229468790362</c:v>
                </c:pt>
                <c:pt idx="18">
                  <c:v>216.87381454063961</c:v>
                </c:pt>
                <c:pt idx="19">
                  <c:v>170.73734201649987</c:v>
                </c:pt>
                <c:pt idx="20">
                  <c:v>136.08395364615998</c:v>
                </c:pt>
                <c:pt idx="21">
                  <c:v>109.67731138034584</c:v>
                </c:pt>
                <c:pt idx="22">
                  <c:v>89.290724999236531</c:v>
                </c:pt>
                <c:pt idx="23">
                  <c:v>73.364224682218364</c:v>
                </c:pt>
                <c:pt idx="24">
                  <c:v>60.786857240137302</c:v>
                </c:pt>
                <c:pt idx="25">
                  <c:v>50.755525347897169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D7-3740-8EB6-F2382EEAE07F}"/>
            </c:ext>
          </c:extLst>
        </c:ser>
        <c:ser>
          <c:idx val="3"/>
          <c:order val="4"/>
          <c:tx>
            <c:v>Silty clay, Campbell</c:v>
          </c:tx>
          <c:spPr>
            <a:ln w="254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RetentionCurves!$A$17:$A$45</c:f>
              <c:numCache>
                <c:formatCode>General</c:formatCode>
                <c:ptCount val="29"/>
                <c:pt idx="0">
                  <c:v>7.0000000000000007E-2</c:v>
                </c:pt>
                <c:pt idx="1">
                  <c:v>9.0000000000000011E-2</c:v>
                </c:pt>
                <c:pt idx="2">
                  <c:v>0.11000000000000001</c:v>
                </c:pt>
                <c:pt idx="3">
                  <c:v>0.13</c:v>
                </c:pt>
                <c:pt idx="4">
                  <c:v>0.15</c:v>
                </c:pt>
                <c:pt idx="5">
                  <c:v>0.16999999999999998</c:v>
                </c:pt>
                <c:pt idx="6">
                  <c:v>0.18999999999999997</c:v>
                </c:pt>
                <c:pt idx="7">
                  <c:v>0.20999999999999996</c:v>
                </c:pt>
                <c:pt idx="8">
                  <c:v>0.22999999999999995</c:v>
                </c:pt>
                <c:pt idx="9">
                  <c:v>0.24999999999999994</c:v>
                </c:pt>
                <c:pt idx="10">
                  <c:v>0.26999999999999996</c:v>
                </c:pt>
                <c:pt idx="11">
                  <c:v>0.28999999999999998</c:v>
                </c:pt>
                <c:pt idx="12">
                  <c:v>0.31</c:v>
                </c:pt>
                <c:pt idx="13">
                  <c:v>0.33</c:v>
                </c:pt>
                <c:pt idx="14">
                  <c:v>0.35000000000000003</c:v>
                </c:pt>
                <c:pt idx="15">
                  <c:v>0.37000000000000005</c:v>
                </c:pt>
                <c:pt idx="16">
                  <c:v>0.39000000000000007</c:v>
                </c:pt>
                <c:pt idx="17">
                  <c:v>0.41000000000000009</c:v>
                </c:pt>
                <c:pt idx="18">
                  <c:v>0.4200000000000001</c:v>
                </c:pt>
                <c:pt idx="19">
                  <c:v>0.4300000000000001</c:v>
                </c:pt>
                <c:pt idx="20">
                  <c:v>0.44000000000000011</c:v>
                </c:pt>
                <c:pt idx="21">
                  <c:v>0.45000000000000012</c:v>
                </c:pt>
                <c:pt idx="22">
                  <c:v>0.46000000000000013</c:v>
                </c:pt>
                <c:pt idx="23">
                  <c:v>0.47000000000000014</c:v>
                </c:pt>
                <c:pt idx="24">
                  <c:v>0.48000000000000015</c:v>
                </c:pt>
                <c:pt idx="25">
                  <c:v>0.49000000000000016</c:v>
                </c:pt>
                <c:pt idx="26">
                  <c:v>0.50000000000000011</c:v>
                </c:pt>
                <c:pt idx="27">
                  <c:v>0.51000000000000012</c:v>
                </c:pt>
                <c:pt idx="28">
                  <c:v>0.52000000000000013</c:v>
                </c:pt>
              </c:numCache>
            </c:numRef>
          </c:xVal>
          <c:yVal>
            <c:numRef>
              <c:f>RetentionCurves!$F$17:$F$45</c:f>
              <c:numCache>
                <c:formatCode>0.00E+00</c:formatCode>
                <c:ptCount val="29"/>
                <c:pt idx="8">
                  <c:v>133248.90666176015</c:v>
                </c:pt>
                <c:pt idx="9">
                  <c:v>55983.114858294124</c:v>
                </c:pt>
                <c:pt idx="10">
                  <c:v>25144.905139194692</c:v>
                </c:pt>
                <c:pt idx="11">
                  <c:v>11958.975348513197</c:v>
                </c:pt>
                <c:pt idx="12">
                  <c:v>5976.8386651526262</c:v>
                </c:pt>
                <c:pt idx="13">
                  <c:v>3119.5228712917924</c:v>
                </c:pt>
                <c:pt idx="14">
                  <c:v>1691.7083291416661</c:v>
                </c:pt>
                <c:pt idx="15">
                  <c:v>949.15080085141039</c:v>
                </c:pt>
                <c:pt idx="16">
                  <c:v>548.98595743744693</c:v>
                </c:pt>
                <c:pt idx="17">
                  <c:v>326.34806268984801</c:v>
                </c:pt>
                <c:pt idx="18">
                  <c:v>254.00398410430023</c:v>
                </c:pt>
                <c:pt idx="19">
                  <c:v>198.86630788506747</c:v>
                </c:pt>
                <c:pt idx="20">
                  <c:v>156.57604300140042</c:v>
                </c:pt>
                <c:pt idx="21">
                  <c:v>123.94328585993627</c:v>
                </c:pt>
                <c:pt idx="22">
                  <c:v>98.616980125305844</c:v>
                </c:pt>
                <c:pt idx="23">
                  <c:v>78.852492590314796</c:v>
                </c:pt>
                <c:pt idx="24">
                  <c:v>63.346741504455025</c:v>
                </c:pt>
                <c:pt idx="25">
                  <c:v>51.120361525637634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D7-3740-8EB6-F2382EEAE07F}"/>
            </c:ext>
          </c:extLst>
        </c:ser>
        <c:ser>
          <c:idx val="5"/>
          <c:order val="5"/>
          <c:tx>
            <c:v>Silty clay, van Genuchten</c:v>
          </c:tx>
          <c:spPr>
            <a:ln w="25400" cap="rnd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RetentionCurves!$A$17:$A$45</c:f>
              <c:numCache>
                <c:formatCode>General</c:formatCode>
                <c:ptCount val="29"/>
                <c:pt idx="0">
                  <c:v>7.0000000000000007E-2</c:v>
                </c:pt>
                <c:pt idx="1">
                  <c:v>9.0000000000000011E-2</c:v>
                </c:pt>
                <c:pt idx="2">
                  <c:v>0.11000000000000001</c:v>
                </c:pt>
                <c:pt idx="3">
                  <c:v>0.13</c:v>
                </c:pt>
                <c:pt idx="4">
                  <c:v>0.15</c:v>
                </c:pt>
                <c:pt idx="5">
                  <c:v>0.16999999999999998</c:v>
                </c:pt>
                <c:pt idx="6">
                  <c:v>0.18999999999999997</c:v>
                </c:pt>
                <c:pt idx="7">
                  <c:v>0.20999999999999996</c:v>
                </c:pt>
                <c:pt idx="8">
                  <c:v>0.22999999999999995</c:v>
                </c:pt>
                <c:pt idx="9">
                  <c:v>0.24999999999999994</c:v>
                </c:pt>
                <c:pt idx="10">
                  <c:v>0.26999999999999996</c:v>
                </c:pt>
                <c:pt idx="11">
                  <c:v>0.28999999999999998</c:v>
                </c:pt>
                <c:pt idx="12">
                  <c:v>0.31</c:v>
                </c:pt>
                <c:pt idx="13">
                  <c:v>0.33</c:v>
                </c:pt>
                <c:pt idx="14">
                  <c:v>0.35000000000000003</c:v>
                </c:pt>
                <c:pt idx="15">
                  <c:v>0.37000000000000005</c:v>
                </c:pt>
                <c:pt idx="16">
                  <c:v>0.39000000000000007</c:v>
                </c:pt>
                <c:pt idx="17">
                  <c:v>0.41000000000000009</c:v>
                </c:pt>
                <c:pt idx="18">
                  <c:v>0.4200000000000001</c:v>
                </c:pt>
                <c:pt idx="19">
                  <c:v>0.4300000000000001</c:v>
                </c:pt>
                <c:pt idx="20">
                  <c:v>0.44000000000000011</c:v>
                </c:pt>
                <c:pt idx="21">
                  <c:v>0.45000000000000012</c:v>
                </c:pt>
                <c:pt idx="22">
                  <c:v>0.46000000000000013</c:v>
                </c:pt>
                <c:pt idx="23">
                  <c:v>0.47000000000000014</c:v>
                </c:pt>
                <c:pt idx="24">
                  <c:v>0.48000000000000015</c:v>
                </c:pt>
                <c:pt idx="25">
                  <c:v>0.49000000000000016</c:v>
                </c:pt>
                <c:pt idx="26">
                  <c:v>0.50000000000000011</c:v>
                </c:pt>
                <c:pt idx="27">
                  <c:v>0.51000000000000012</c:v>
                </c:pt>
                <c:pt idx="28">
                  <c:v>0.52000000000000013</c:v>
                </c:pt>
              </c:numCache>
            </c:numRef>
          </c:xVal>
          <c:yVal>
            <c:numRef>
              <c:f>RetentionCurves!$G$17:$G$45</c:f>
              <c:numCache>
                <c:formatCode>0.00E+00</c:formatCode>
                <c:ptCount val="29"/>
                <c:pt idx="9">
                  <c:v>6578151.2975735357</c:v>
                </c:pt>
                <c:pt idx="10">
                  <c:v>133113.90266418876</c:v>
                </c:pt>
                <c:pt idx="11">
                  <c:v>23154.951685732489</c:v>
                </c:pt>
                <c:pt idx="12">
                  <c:v>7381.9757657728942</c:v>
                </c:pt>
                <c:pt idx="13">
                  <c:v>3141.8604252242089</c:v>
                </c:pt>
                <c:pt idx="14">
                  <c:v>1578.9568532300516</c:v>
                </c:pt>
                <c:pt idx="15">
                  <c:v>879.83537256551347</c:v>
                </c:pt>
                <c:pt idx="16">
                  <c:v>522.55975370463375</c:v>
                </c:pt>
                <c:pt idx="17">
                  <c:v>320.82838634417033</c:v>
                </c:pt>
                <c:pt idx="18">
                  <c:v>252.12458128621233</c:v>
                </c:pt>
                <c:pt idx="19">
                  <c:v>197.29923296933706</c:v>
                </c:pt>
                <c:pt idx="20">
                  <c:v>152.75457340698046</c:v>
                </c:pt>
                <c:pt idx="21">
                  <c:v>115.87756678852325</c:v>
                </c:pt>
                <c:pt idx="22">
                  <c:v>84.694127848124538</c:v>
                </c:pt>
                <c:pt idx="23">
                  <c:v>57.595954992655741</c:v>
                </c:pt>
                <c:pt idx="24">
                  <c:v>32.986488066409507</c:v>
                </c:pt>
                <c:pt idx="25">
                  <c:v>7.6324608231608195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35-BC42-A506-607139952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562943"/>
        <c:axId val="723706335"/>
      </c:scatterChart>
      <c:valAx>
        <c:axId val="723562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Water content 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706335"/>
        <c:crosses val="autoZero"/>
        <c:crossBetween val="midCat"/>
      </c:valAx>
      <c:valAx>
        <c:axId val="723706335"/>
        <c:scaling>
          <c:logBase val="10"/>
          <c:orientation val="minMax"/>
          <c:max val="1000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|</a:t>
                </a:r>
                <a:r>
                  <a:rPr lang="en-US" sz="1200" baseline="0">
                    <a:latin typeface="Symbol" pitchFamily="2" charset="2"/>
                  </a:rPr>
                  <a:t>Y</a:t>
                </a:r>
                <a:r>
                  <a:rPr lang="en-US" sz="1200" baseline="0"/>
                  <a:t>|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562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580985482283466"/>
          <c:y val="0.50740943210124201"/>
          <c:w val="0.37447404035433063"/>
          <c:h val="0.21233579082869419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Relative</a:t>
            </a:r>
            <a:r>
              <a:rPr lang="en-US" baseline="0"/>
              <a:t> permeability for the Campbell and Brooks-Corey models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Sandy loam, Brooks-Corey</c:v>
          </c:tx>
          <c:spPr>
            <a:ln w="254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RetentionCurves!$A$17:$A$45</c:f>
              <c:numCache>
                <c:formatCode>General</c:formatCode>
                <c:ptCount val="29"/>
                <c:pt idx="0">
                  <c:v>7.0000000000000007E-2</c:v>
                </c:pt>
                <c:pt idx="1">
                  <c:v>9.0000000000000011E-2</c:v>
                </c:pt>
                <c:pt idx="2">
                  <c:v>0.11000000000000001</c:v>
                </c:pt>
                <c:pt idx="3">
                  <c:v>0.13</c:v>
                </c:pt>
                <c:pt idx="4">
                  <c:v>0.15</c:v>
                </c:pt>
                <c:pt idx="5">
                  <c:v>0.16999999999999998</c:v>
                </c:pt>
                <c:pt idx="6">
                  <c:v>0.18999999999999997</c:v>
                </c:pt>
                <c:pt idx="7">
                  <c:v>0.20999999999999996</c:v>
                </c:pt>
                <c:pt idx="8">
                  <c:v>0.22999999999999995</c:v>
                </c:pt>
                <c:pt idx="9">
                  <c:v>0.24999999999999994</c:v>
                </c:pt>
                <c:pt idx="10">
                  <c:v>0.26999999999999996</c:v>
                </c:pt>
                <c:pt idx="11">
                  <c:v>0.28999999999999998</c:v>
                </c:pt>
                <c:pt idx="12">
                  <c:v>0.31</c:v>
                </c:pt>
                <c:pt idx="13">
                  <c:v>0.33</c:v>
                </c:pt>
                <c:pt idx="14">
                  <c:v>0.35000000000000003</c:v>
                </c:pt>
                <c:pt idx="15">
                  <c:v>0.37000000000000005</c:v>
                </c:pt>
                <c:pt idx="16">
                  <c:v>0.39000000000000007</c:v>
                </c:pt>
                <c:pt idx="17">
                  <c:v>0.41000000000000009</c:v>
                </c:pt>
                <c:pt idx="18">
                  <c:v>0.4200000000000001</c:v>
                </c:pt>
                <c:pt idx="19">
                  <c:v>0.4300000000000001</c:v>
                </c:pt>
                <c:pt idx="20">
                  <c:v>0.44000000000000011</c:v>
                </c:pt>
                <c:pt idx="21">
                  <c:v>0.45000000000000012</c:v>
                </c:pt>
                <c:pt idx="22">
                  <c:v>0.46000000000000013</c:v>
                </c:pt>
                <c:pt idx="23">
                  <c:v>0.47000000000000014</c:v>
                </c:pt>
                <c:pt idx="24">
                  <c:v>0.48000000000000015</c:v>
                </c:pt>
                <c:pt idx="25">
                  <c:v>0.49000000000000016</c:v>
                </c:pt>
                <c:pt idx="26">
                  <c:v>0.50000000000000011</c:v>
                </c:pt>
                <c:pt idx="27">
                  <c:v>0.51000000000000012</c:v>
                </c:pt>
                <c:pt idx="28">
                  <c:v>0.52000000000000013</c:v>
                </c:pt>
              </c:numCache>
            </c:numRef>
          </c:xVal>
          <c:yVal>
            <c:numRef>
              <c:f>RetentionCurves!$J$17:$J$45</c:f>
              <c:numCache>
                <c:formatCode>0.00E+00</c:formatCode>
                <c:ptCount val="29"/>
                <c:pt idx="0">
                  <c:v>1.0010650715403232E-17</c:v>
                </c:pt>
                <c:pt idx="1">
                  <c:v>1.4235471608571055E-12</c:v>
                </c:pt>
                <c:pt idx="2">
                  <c:v>3.5427324505394669E-10</c:v>
                </c:pt>
                <c:pt idx="3">
                  <c:v>1.3412852252314512E-8</c:v>
                </c:pt>
                <c:pt idx="4">
                  <c:v>2.0243304624206032E-7</c:v>
                </c:pt>
                <c:pt idx="5">
                  <c:v>1.7680856861215363E-6</c:v>
                </c:pt>
                <c:pt idx="6">
                  <c:v>1.0741143369550059E-5</c:v>
                </c:pt>
                <c:pt idx="7">
                  <c:v>5.0378810179460363E-5</c:v>
                </c:pt>
                <c:pt idx="8">
                  <c:v>1.9467521339576794E-4</c:v>
                </c:pt>
                <c:pt idx="9">
                  <c:v>6.4714440213052787E-4</c:v>
                </c:pt>
                <c:pt idx="10">
                  <c:v>1.9073513086815476E-3</c:v>
                </c:pt>
                <c:pt idx="11">
                  <c:v>5.0947506985658062E-3</c:v>
                </c:pt>
                <c:pt idx="12">
                  <c:v>1.2537599775400568E-2</c:v>
                </c:pt>
                <c:pt idx="13">
                  <c:v>2.8786638994220001E-2</c:v>
                </c:pt>
                <c:pt idx="14">
                  <c:v>6.2281732636605802E-2</c:v>
                </c:pt>
                <c:pt idx="15">
                  <c:v>0.1279878082423995</c:v>
                </c:pt>
                <c:pt idx="16">
                  <c:v>0.25142754753770735</c:v>
                </c:pt>
                <c:pt idx="17">
                  <c:v>0.47467590548784877</c:v>
                </c:pt>
                <c:pt idx="18">
                  <c:v>0.6434715007414602</c:v>
                </c:pt>
                <c:pt idx="19">
                  <c:v>0.86504943829336367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E5-4549-A547-B8DA967A3CA0}"/>
            </c:ext>
          </c:extLst>
        </c:ser>
        <c:ser>
          <c:idx val="1"/>
          <c:order val="1"/>
          <c:tx>
            <c:v>Sandy loam, Campbell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RetentionCurves!$A$17:$A$45</c:f>
              <c:numCache>
                <c:formatCode>General</c:formatCode>
                <c:ptCount val="29"/>
                <c:pt idx="0">
                  <c:v>7.0000000000000007E-2</c:v>
                </c:pt>
                <c:pt idx="1">
                  <c:v>9.0000000000000011E-2</c:v>
                </c:pt>
                <c:pt idx="2">
                  <c:v>0.11000000000000001</c:v>
                </c:pt>
                <c:pt idx="3">
                  <c:v>0.13</c:v>
                </c:pt>
                <c:pt idx="4">
                  <c:v>0.15</c:v>
                </c:pt>
                <c:pt idx="5">
                  <c:v>0.16999999999999998</c:v>
                </c:pt>
                <c:pt idx="6">
                  <c:v>0.18999999999999997</c:v>
                </c:pt>
                <c:pt idx="7">
                  <c:v>0.20999999999999996</c:v>
                </c:pt>
                <c:pt idx="8">
                  <c:v>0.22999999999999995</c:v>
                </c:pt>
                <c:pt idx="9">
                  <c:v>0.24999999999999994</c:v>
                </c:pt>
                <c:pt idx="10">
                  <c:v>0.26999999999999996</c:v>
                </c:pt>
                <c:pt idx="11">
                  <c:v>0.28999999999999998</c:v>
                </c:pt>
                <c:pt idx="12">
                  <c:v>0.31</c:v>
                </c:pt>
                <c:pt idx="13">
                  <c:v>0.33</c:v>
                </c:pt>
                <c:pt idx="14">
                  <c:v>0.35000000000000003</c:v>
                </c:pt>
                <c:pt idx="15">
                  <c:v>0.37000000000000005</c:v>
                </c:pt>
                <c:pt idx="16">
                  <c:v>0.39000000000000007</c:v>
                </c:pt>
                <c:pt idx="17">
                  <c:v>0.41000000000000009</c:v>
                </c:pt>
                <c:pt idx="18">
                  <c:v>0.4200000000000001</c:v>
                </c:pt>
                <c:pt idx="19">
                  <c:v>0.4300000000000001</c:v>
                </c:pt>
                <c:pt idx="20">
                  <c:v>0.44000000000000011</c:v>
                </c:pt>
                <c:pt idx="21">
                  <c:v>0.45000000000000012</c:v>
                </c:pt>
                <c:pt idx="22">
                  <c:v>0.46000000000000013</c:v>
                </c:pt>
                <c:pt idx="23">
                  <c:v>0.47000000000000014</c:v>
                </c:pt>
                <c:pt idx="24">
                  <c:v>0.48000000000000015</c:v>
                </c:pt>
                <c:pt idx="25">
                  <c:v>0.49000000000000016</c:v>
                </c:pt>
                <c:pt idx="26">
                  <c:v>0.50000000000000011</c:v>
                </c:pt>
                <c:pt idx="27">
                  <c:v>0.51000000000000012</c:v>
                </c:pt>
                <c:pt idx="28">
                  <c:v>0.52000000000000013</c:v>
                </c:pt>
              </c:numCache>
            </c:numRef>
          </c:xVal>
          <c:yVal>
            <c:numRef>
              <c:f>RetentionCurves!$K$17:$K$45</c:f>
              <c:numCache>
                <c:formatCode>0.00E+00</c:formatCode>
                <c:ptCount val="29"/>
                <c:pt idx="0">
                  <c:v>6.9918551613665276E-11</c:v>
                </c:pt>
                <c:pt idx="1">
                  <c:v>1.7443821413641049E-9</c:v>
                </c:pt>
                <c:pt idx="2">
                  <c:v>2.2759561006987822E-8</c:v>
                </c:pt>
                <c:pt idx="3">
                  <c:v>1.9311340458056829E-7</c:v>
                </c:pt>
                <c:pt idx="4">
                  <c:v>1.2058842610984133E-6</c:v>
                </c:pt>
                <c:pt idx="5">
                  <c:v>5.985269422410265E-6</c:v>
                </c:pt>
                <c:pt idx="6">
                  <c:v>2.485327373446805E-5</c:v>
                </c:pt>
                <c:pt idx="7">
                  <c:v>8.9483813413800207E-5</c:v>
                </c:pt>
                <c:pt idx="8">
                  <c:v>2.8671724304546854E-4</c:v>
                </c:pt>
                <c:pt idx="9">
                  <c:v>8.336228723527958E-4</c:v>
                </c:pt>
                <c:pt idx="10">
                  <c:v>2.232511435916012E-3</c:v>
                </c:pt>
                <c:pt idx="11">
                  <c:v>5.5722665668446946E-3</c:v>
                </c:pt>
                <c:pt idx="12">
                  <c:v>1.3084803108850074E-2</c:v>
                </c:pt>
                <c:pt idx="13">
                  <c:v>2.912835382778825E-2</c:v>
                </c:pt>
                <c:pt idx="14">
                  <c:v>6.1859795316630675E-2</c:v>
                </c:pt>
                <c:pt idx="15">
                  <c:v>0.12598521429703124</c:v>
                </c:pt>
                <c:pt idx="16">
                  <c:v>0.247152200158191</c:v>
                </c:pt>
                <c:pt idx="17">
                  <c:v>0.46878194541722257</c:v>
                </c:pt>
                <c:pt idx="18">
                  <c:v>0.63815830874742407</c:v>
                </c:pt>
                <c:pt idx="19">
                  <c:v>0.86244963435381738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E5-4549-A547-B8DA967A3CA0}"/>
            </c:ext>
          </c:extLst>
        </c:ser>
        <c:ser>
          <c:idx val="2"/>
          <c:order val="2"/>
          <c:tx>
            <c:v>Silty clay, Brooks-Corey</c:v>
          </c:tx>
          <c:spPr>
            <a:ln w="2540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RetentionCurves!$A$17:$A$45</c:f>
              <c:numCache>
                <c:formatCode>General</c:formatCode>
                <c:ptCount val="29"/>
                <c:pt idx="0">
                  <c:v>7.0000000000000007E-2</c:v>
                </c:pt>
                <c:pt idx="1">
                  <c:v>9.0000000000000011E-2</c:v>
                </c:pt>
                <c:pt idx="2">
                  <c:v>0.11000000000000001</c:v>
                </c:pt>
                <c:pt idx="3">
                  <c:v>0.13</c:v>
                </c:pt>
                <c:pt idx="4">
                  <c:v>0.15</c:v>
                </c:pt>
                <c:pt idx="5">
                  <c:v>0.16999999999999998</c:v>
                </c:pt>
                <c:pt idx="6">
                  <c:v>0.18999999999999997</c:v>
                </c:pt>
                <c:pt idx="7">
                  <c:v>0.20999999999999996</c:v>
                </c:pt>
                <c:pt idx="8">
                  <c:v>0.22999999999999995</c:v>
                </c:pt>
                <c:pt idx="9">
                  <c:v>0.24999999999999994</c:v>
                </c:pt>
                <c:pt idx="10">
                  <c:v>0.26999999999999996</c:v>
                </c:pt>
                <c:pt idx="11">
                  <c:v>0.28999999999999998</c:v>
                </c:pt>
                <c:pt idx="12">
                  <c:v>0.31</c:v>
                </c:pt>
                <c:pt idx="13">
                  <c:v>0.33</c:v>
                </c:pt>
                <c:pt idx="14">
                  <c:v>0.35000000000000003</c:v>
                </c:pt>
                <c:pt idx="15">
                  <c:v>0.37000000000000005</c:v>
                </c:pt>
                <c:pt idx="16">
                  <c:v>0.39000000000000007</c:v>
                </c:pt>
                <c:pt idx="17">
                  <c:v>0.41000000000000009</c:v>
                </c:pt>
                <c:pt idx="18">
                  <c:v>0.4200000000000001</c:v>
                </c:pt>
                <c:pt idx="19">
                  <c:v>0.4300000000000001</c:v>
                </c:pt>
                <c:pt idx="20">
                  <c:v>0.44000000000000011</c:v>
                </c:pt>
                <c:pt idx="21">
                  <c:v>0.45000000000000012</c:v>
                </c:pt>
                <c:pt idx="22">
                  <c:v>0.46000000000000013</c:v>
                </c:pt>
                <c:pt idx="23">
                  <c:v>0.47000000000000014</c:v>
                </c:pt>
                <c:pt idx="24">
                  <c:v>0.48000000000000015</c:v>
                </c:pt>
                <c:pt idx="25">
                  <c:v>0.49000000000000016</c:v>
                </c:pt>
                <c:pt idx="26">
                  <c:v>0.50000000000000011</c:v>
                </c:pt>
                <c:pt idx="27">
                  <c:v>0.51000000000000012</c:v>
                </c:pt>
                <c:pt idx="28">
                  <c:v>0.52000000000000013</c:v>
                </c:pt>
              </c:numCache>
            </c:numRef>
          </c:xVal>
          <c:yVal>
            <c:numRef>
              <c:f>RetentionCurves!$L$17:$L$45</c:f>
              <c:numCache>
                <c:formatCode>0.00E+00</c:formatCode>
                <c:ptCount val="29"/>
                <c:pt idx="9">
                  <c:v>8.788438094325288E-18</c:v>
                </c:pt>
                <c:pt idx="10">
                  <c:v>8.7125736377272497E-12</c:v>
                </c:pt>
                <c:pt idx="11">
                  <c:v>4.2477977531044488E-9</c:v>
                </c:pt>
                <c:pt idx="12">
                  <c:v>2.4114005588416712E-7</c:v>
                </c:pt>
                <c:pt idx="13">
                  <c:v>4.8601778847766872E-6</c:v>
                </c:pt>
                <c:pt idx="14">
                  <c:v>5.3147490407942429E-5</c:v>
                </c:pt>
                <c:pt idx="15">
                  <c:v>3.8797940087165916E-4</c:v>
                </c:pt>
                <c:pt idx="16">
                  <c:v>2.1254361053841247E-3</c:v>
                </c:pt>
                <c:pt idx="17">
                  <c:v>9.3953551419769087E-3</c:v>
                </c:pt>
                <c:pt idx="18">
                  <c:v>1.8514664729387204E-2</c:v>
                </c:pt>
                <c:pt idx="19">
                  <c:v>3.5164089420124139E-2</c:v>
                </c:pt>
                <c:pt idx="20">
                  <c:v>6.4612476639609895E-2</c:v>
                </c:pt>
                <c:pt idx="21">
                  <c:v>0.11523283923142029</c:v>
                </c:pt>
                <c:pt idx="22">
                  <c:v>0.20002793045284747</c:v>
                </c:pt>
                <c:pt idx="23">
                  <c:v>0.33877299071732209</c:v>
                </c:pt>
                <c:pt idx="24">
                  <c:v>0.56097733858009458</c:v>
                </c:pt>
                <c:pt idx="25">
                  <c:v>0.90991826383076169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E5-4549-A547-B8DA967A3CA0}"/>
            </c:ext>
          </c:extLst>
        </c:ser>
        <c:ser>
          <c:idx val="3"/>
          <c:order val="3"/>
          <c:tx>
            <c:v>Silty clay, Campbell</c:v>
          </c:tx>
          <c:spPr>
            <a:ln w="254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RetentionCurves!$A$17:$A$45</c:f>
              <c:numCache>
                <c:formatCode>General</c:formatCode>
                <c:ptCount val="29"/>
                <c:pt idx="0">
                  <c:v>7.0000000000000007E-2</c:v>
                </c:pt>
                <c:pt idx="1">
                  <c:v>9.0000000000000011E-2</c:v>
                </c:pt>
                <c:pt idx="2">
                  <c:v>0.11000000000000001</c:v>
                </c:pt>
                <c:pt idx="3">
                  <c:v>0.13</c:v>
                </c:pt>
                <c:pt idx="4">
                  <c:v>0.15</c:v>
                </c:pt>
                <c:pt idx="5">
                  <c:v>0.16999999999999998</c:v>
                </c:pt>
                <c:pt idx="6">
                  <c:v>0.18999999999999997</c:v>
                </c:pt>
                <c:pt idx="7">
                  <c:v>0.20999999999999996</c:v>
                </c:pt>
                <c:pt idx="8">
                  <c:v>0.22999999999999995</c:v>
                </c:pt>
                <c:pt idx="9">
                  <c:v>0.24999999999999994</c:v>
                </c:pt>
                <c:pt idx="10">
                  <c:v>0.26999999999999996</c:v>
                </c:pt>
                <c:pt idx="11">
                  <c:v>0.28999999999999998</c:v>
                </c:pt>
                <c:pt idx="12">
                  <c:v>0.31</c:v>
                </c:pt>
                <c:pt idx="13">
                  <c:v>0.33</c:v>
                </c:pt>
                <c:pt idx="14">
                  <c:v>0.35000000000000003</c:v>
                </c:pt>
                <c:pt idx="15">
                  <c:v>0.37000000000000005</c:v>
                </c:pt>
                <c:pt idx="16">
                  <c:v>0.39000000000000007</c:v>
                </c:pt>
                <c:pt idx="17">
                  <c:v>0.41000000000000009</c:v>
                </c:pt>
                <c:pt idx="18">
                  <c:v>0.4200000000000001</c:v>
                </c:pt>
                <c:pt idx="19">
                  <c:v>0.4300000000000001</c:v>
                </c:pt>
                <c:pt idx="20">
                  <c:v>0.44000000000000011</c:v>
                </c:pt>
                <c:pt idx="21">
                  <c:v>0.45000000000000012</c:v>
                </c:pt>
                <c:pt idx="22">
                  <c:v>0.46000000000000013</c:v>
                </c:pt>
                <c:pt idx="23">
                  <c:v>0.47000000000000014</c:v>
                </c:pt>
                <c:pt idx="24">
                  <c:v>0.48000000000000015</c:v>
                </c:pt>
                <c:pt idx="25">
                  <c:v>0.49000000000000016</c:v>
                </c:pt>
                <c:pt idx="26">
                  <c:v>0.50000000000000011</c:v>
                </c:pt>
                <c:pt idx="27">
                  <c:v>0.51000000000000012</c:v>
                </c:pt>
                <c:pt idx="28">
                  <c:v>0.52000000000000013</c:v>
                </c:pt>
              </c:numCache>
            </c:numRef>
          </c:xVal>
          <c:yVal>
            <c:numRef>
              <c:f>RetentionCurves!$M$17:$M$45</c:f>
              <c:numCache>
                <c:formatCode>0.00E+00</c:formatCode>
                <c:ptCount val="29"/>
                <c:pt idx="0">
                  <c:v>6.9913960765575421E-21</c:v>
                </c:pt>
                <c:pt idx="1">
                  <c:v>2.7682306877591265E-18</c:v>
                </c:pt>
                <c:pt idx="2">
                  <c:v>3.2837982032743083E-16</c:v>
                </c:pt>
                <c:pt idx="3">
                  <c:v>1.7501784781381527E-14</c:v>
                </c:pt>
                <c:pt idx="4">
                  <c:v>5.2747577592813651E-13</c:v>
                </c:pt>
                <c:pt idx="5">
                  <c:v>1.0373250913022923E-11</c:v>
                </c:pt>
                <c:pt idx="6">
                  <c:v>1.4640848841617506E-10</c:v>
                </c:pt>
                <c:pt idx="7">
                  <c:v>1.5850748267251392E-9</c:v>
                </c:pt>
                <c:pt idx="8">
                  <c:v>1.3815068777128415E-8</c:v>
                </c:pt>
                <c:pt idx="9">
                  <c:v>1.005084928150318E-7</c:v>
                </c:pt>
                <c:pt idx="10">
                  <c:v>6.2760752354564497E-7</c:v>
                </c:pt>
                <c:pt idx="11">
                  <c:v>3.4379765028047457E-6</c:v>
                </c:pt>
                <c:pt idx="12">
                  <c:v>1.6812754342937867E-5</c:v>
                </c:pt>
                <c:pt idx="13">
                  <c:v>7.4449592199592131E-5</c:v>
                </c:pt>
                <c:pt idx="14">
                  <c:v>3.0202994924813012E-4</c:v>
                </c:pt>
                <c:pt idx="15">
                  <c:v>1.1335262631485387E-3</c:v>
                </c:pt>
                <c:pt idx="16">
                  <c:v>3.967968367969932E-3</c:v>
                </c:pt>
                <c:pt idx="17">
                  <c:v>1.3046269453720102E-2</c:v>
                </c:pt>
                <c:pt idx="18">
                  <c:v>2.3150675395717024E-2</c:v>
                </c:pt>
                <c:pt idx="19">
                  <c:v>4.053029800157093E-2</c:v>
                </c:pt>
                <c:pt idx="20">
                  <c:v>7.0049373349169455E-2</c:v>
                </c:pt>
                <c:pt idx="21">
                  <c:v>0.11958821456768177</c:v>
                </c:pt>
                <c:pt idx="22">
                  <c:v>0.20177481052398627</c:v>
                </c:pt>
                <c:pt idx="23">
                  <c:v>0.33663523668327061</c:v>
                </c:pt>
                <c:pt idx="24">
                  <c:v>0.55561249472393204</c:v>
                </c:pt>
                <c:pt idx="25">
                  <c:v>0.90760579218620185</c:v>
                </c:pt>
                <c:pt idx="2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E5-4549-A547-B8DA967A3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5706192"/>
        <c:axId val="485707904"/>
      </c:scatterChart>
      <c:valAx>
        <c:axId val="48570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Water content 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707904"/>
        <c:crossesAt val="9.9999999999999995E-7"/>
        <c:crossBetween val="midCat"/>
      </c:valAx>
      <c:valAx>
        <c:axId val="485707904"/>
        <c:scaling>
          <c:logBase val="10"/>
          <c:orientation val="minMax"/>
          <c:max val="1"/>
          <c:min val="9.9999999999999995E-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Relative Permeability, K(</a:t>
                </a:r>
                <a:r>
                  <a:rPr lang="en-US" sz="1200" baseline="0">
                    <a:latin typeface="Symbol" pitchFamily="2" charset="2"/>
                  </a:rPr>
                  <a:t>q</a:t>
                </a:r>
                <a:r>
                  <a:rPr lang="en-US" sz="1200" baseline="0"/>
                  <a:t>)/K</a:t>
                </a:r>
                <a:r>
                  <a:rPr lang="en-US" sz="1200" baseline="-25000"/>
                  <a:t>sat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706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Retention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5"/>
          <c:order val="0"/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vanGenuchtenSchematic!$B$17:$B$62</c:f>
              <c:numCache>
                <c:formatCode>General</c:formatCode>
                <c:ptCount val="46"/>
                <c:pt idx="0">
                  <c:v>0.10009999999999999</c:v>
                </c:pt>
                <c:pt idx="1">
                  <c:v>0.10100000000000001</c:v>
                </c:pt>
                <c:pt idx="2">
                  <c:v>0.10199999999999999</c:v>
                </c:pt>
                <c:pt idx="3">
                  <c:v>0.104</c:v>
                </c:pt>
                <c:pt idx="4">
                  <c:v>0.108</c:v>
                </c:pt>
                <c:pt idx="5">
                  <c:v>0.11</c:v>
                </c:pt>
                <c:pt idx="6">
                  <c:v>0.12</c:v>
                </c:pt>
                <c:pt idx="7">
                  <c:v>0.13</c:v>
                </c:pt>
                <c:pt idx="8">
                  <c:v>0.14000000000000001</c:v>
                </c:pt>
                <c:pt idx="9">
                  <c:v>0.15000000000000002</c:v>
                </c:pt>
                <c:pt idx="10">
                  <c:v>0.16000000000000003</c:v>
                </c:pt>
                <c:pt idx="11">
                  <c:v>0.17000000000000004</c:v>
                </c:pt>
                <c:pt idx="12">
                  <c:v>0.18000000000000005</c:v>
                </c:pt>
                <c:pt idx="13">
                  <c:v>0.19000000000000006</c:v>
                </c:pt>
                <c:pt idx="14">
                  <c:v>0.20000000000000007</c:v>
                </c:pt>
                <c:pt idx="15">
                  <c:v>0.21000000000000008</c:v>
                </c:pt>
                <c:pt idx="16">
                  <c:v>0.22000000000000008</c:v>
                </c:pt>
                <c:pt idx="17">
                  <c:v>0.23000000000000009</c:v>
                </c:pt>
                <c:pt idx="18">
                  <c:v>0.2400000000000001</c:v>
                </c:pt>
                <c:pt idx="19">
                  <c:v>0.25000000000000011</c:v>
                </c:pt>
                <c:pt idx="20">
                  <c:v>0.26000000000000012</c:v>
                </c:pt>
                <c:pt idx="21">
                  <c:v>0.27000000000000013</c:v>
                </c:pt>
                <c:pt idx="22">
                  <c:v>0.28000000000000014</c:v>
                </c:pt>
                <c:pt idx="23">
                  <c:v>0.29000000000000015</c:v>
                </c:pt>
                <c:pt idx="24">
                  <c:v>0.30000000000000016</c:v>
                </c:pt>
                <c:pt idx="25">
                  <c:v>0.31000000000000016</c:v>
                </c:pt>
                <c:pt idx="26">
                  <c:v>0.32000000000000017</c:v>
                </c:pt>
                <c:pt idx="27">
                  <c:v>0.33000000000000018</c:v>
                </c:pt>
                <c:pt idx="28">
                  <c:v>0.34000000000000019</c:v>
                </c:pt>
                <c:pt idx="29">
                  <c:v>0.3500000000000002</c:v>
                </c:pt>
                <c:pt idx="30">
                  <c:v>0.36000000000000021</c:v>
                </c:pt>
                <c:pt idx="31">
                  <c:v>0.37000000000000022</c:v>
                </c:pt>
                <c:pt idx="32">
                  <c:v>0.38000000000000023</c:v>
                </c:pt>
                <c:pt idx="33">
                  <c:v>0.39000000000000024</c:v>
                </c:pt>
                <c:pt idx="34">
                  <c:v>0.40000000000000024</c:v>
                </c:pt>
                <c:pt idx="35">
                  <c:v>0.41000000000000025</c:v>
                </c:pt>
                <c:pt idx="36">
                  <c:v>0.42000000000000026</c:v>
                </c:pt>
                <c:pt idx="37">
                  <c:v>0.43000000000000027</c:v>
                </c:pt>
                <c:pt idx="38">
                  <c:v>0.44000000000000028</c:v>
                </c:pt>
                <c:pt idx="39">
                  <c:v>0.45000000000000029</c:v>
                </c:pt>
                <c:pt idx="40">
                  <c:v>0.4600000000000003</c:v>
                </c:pt>
                <c:pt idx="41">
                  <c:v>0.47000000000000031</c:v>
                </c:pt>
                <c:pt idx="42">
                  <c:v>0.48000000000000032</c:v>
                </c:pt>
                <c:pt idx="43">
                  <c:v>0.49000000000000032</c:v>
                </c:pt>
                <c:pt idx="44">
                  <c:v>0.495</c:v>
                </c:pt>
                <c:pt idx="45">
                  <c:v>0.5</c:v>
                </c:pt>
              </c:numCache>
            </c:numRef>
          </c:xVal>
          <c:yVal>
            <c:numRef>
              <c:f>vanGenuchtenSchematic!$C$17:$C$62</c:f>
              <c:numCache>
                <c:formatCode>0.00E+00</c:formatCode>
                <c:ptCount val="46"/>
                <c:pt idx="0">
                  <c:v>799999.97500008764</c:v>
                </c:pt>
                <c:pt idx="1">
                  <c:v>79999.749999609296</c:v>
                </c:pt>
                <c:pt idx="2">
                  <c:v>39999.499996875202</c:v>
                </c:pt>
                <c:pt idx="3">
                  <c:v>19998.999974998802</c:v>
                </c:pt>
                <c:pt idx="4">
                  <c:v>9997.9997999599982</c:v>
                </c:pt>
                <c:pt idx="5">
                  <c:v>7997.4996092528854</c:v>
                </c:pt>
                <c:pt idx="6">
                  <c:v>3994.9968710876378</c:v>
                </c:pt>
                <c:pt idx="7">
                  <c:v>2659.1560900238837</c:v>
                </c:pt>
                <c:pt idx="8">
                  <c:v>1989.9748742132394</c:v>
                </c:pt>
                <c:pt idx="9">
                  <c:v>1587.4507866387542</c:v>
                </c:pt>
                <c:pt idx="10">
                  <c:v>1318.2479955523454</c:v>
                </c:pt>
                <c:pt idx="11">
                  <c:v>1125.2210667151548</c:v>
                </c:pt>
                <c:pt idx="12">
                  <c:v>979.79589711327083</c:v>
                </c:pt>
                <c:pt idx="13">
                  <c:v>866.0966786624474</c:v>
                </c:pt>
                <c:pt idx="14">
                  <c:v>774.59666924148303</c:v>
                </c:pt>
                <c:pt idx="15">
                  <c:v>699.23216447379639</c:v>
                </c:pt>
                <c:pt idx="16">
                  <c:v>635.95946761129676</c:v>
                </c:pt>
                <c:pt idx="17">
                  <c:v>581.97785598085318</c:v>
                </c:pt>
                <c:pt idx="18">
                  <c:v>535.28554271986241</c:v>
                </c:pt>
                <c:pt idx="19">
                  <c:v>494.41323247304388</c:v>
                </c:pt>
                <c:pt idx="20">
                  <c:v>458.25756949558365</c:v>
                </c:pt>
                <c:pt idx="21">
                  <c:v>425.97334094662733</c:v>
                </c:pt>
                <c:pt idx="22">
                  <c:v>396.90157998870529</c:v>
                </c:pt>
                <c:pt idx="23">
                  <c:v>370.52033487995845</c:v>
                </c:pt>
                <c:pt idx="24">
                  <c:v>346.41016151377517</c:v>
                </c:pt>
                <c:pt idx="25">
                  <c:v>324.2294196295083</c:v>
                </c:pt>
                <c:pt idx="26">
                  <c:v>303.69623797254633</c:v>
                </c:pt>
                <c:pt idx="27">
                  <c:v>284.57509864267053</c:v>
                </c:pt>
                <c:pt idx="28">
                  <c:v>266.6666666666664</c:v>
                </c:pt>
                <c:pt idx="29">
                  <c:v>249.79991993593552</c:v>
                </c:pt>
                <c:pt idx="30">
                  <c:v>233.8259100549329</c:v>
                </c:pt>
                <c:pt idx="31">
                  <c:v>218.61266019812865</c:v>
                </c:pt>
                <c:pt idx="32">
                  <c:v>204.04081224408111</c:v>
                </c:pt>
                <c:pt idx="33">
                  <c:v>189.99968708904669</c:v>
                </c:pt>
                <c:pt idx="34">
                  <c:v>176.38342073763903</c:v>
                </c:pt>
                <c:pt idx="35">
                  <c:v>163.08676980341303</c:v>
                </c:pt>
                <c:pt idx="36">
                  <c:v>149.99999999999966</c:v>
                </c:pt>
                <c:pt idx="37">
                  <c:v>137.00187339948221</c:v>
                </c:pt>
                <c:pt idx="38">
                  <c:v>123.94886768062008</c:v>
                </c:pt>
                <c:pt idx="39">
                  <c:v>110.65666703449722</c:v>
                </c:pt>
                <c:pt idx="40">
                  <c:v>96.864420967570098</c:v>
                </c:pt>
                <c:pt idx="41">
                  <c:v>82.155049478759835</c:v>
                </c:pt>
                <c:pt idx="42">
                  <c:v>65.736821035772024</c:v>
                </c:pt>
                <c:pt idx="43">
                  <c:v>45.580484191361201</c:v>
                </c:pt>
                <c:pt idx="44">
                  <c:v>31.922835982072158</c:v>
                </c:pt>
                <c:pt idx="45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A0D-E045-BB4F-5520BB5BA369}"/>
            </c:ext>
          </c:extLst>
        </c:ser>
        <c:ser>
          <c:idx val="6"/>
          <c:order val="1"/>
          <c:spPr>
            <a:ln w="25400">
              <a:solidFill>
                <a:schemeClr val="bg1">
                  <a:lumMod val="50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vanGenuchtenSchematic!$D$17:$D$18</c:f>
              <c:numCache>
                <c:formatCode>0.00E+00</c:formatCode>
                <c:ptCount val="2"/>
                <c:pt idx="0">
                  <c:v>0.1</c:v>
                </c:pt>
                <c:pt idx="1">
                  <c:v>0.1</c:v>
                </c:pt>
              </c:numCache>
            </c:numRef>
          </c:xVal>
          <c:yVal>
            <c:numRef>
              <c:f>vanGenuchtenSchematic!$E$17:$E$18</c:f>
              <c:numCache>
                <c:formatCode>0.00E+00</c:formatCode>
                <c:ptCount val="2"/>
                <c:pt idx="0">
                  <c:v>1</c:v>
                </c:pt>
                <c:pt idx="1">
                  <c:v>100000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A0D-E045-BB4F-5520BB5BA369}"/>
            </c:ext>
          </c:extLst>
        </c:ser>
        <c:ser>
          <c:idx val="7"/>
          <c:order val="2"/>
          <c:spPr>
            <a:ln w="25400">
              <a:solidFill>
                <a:schemeClr val="tx1"/>
              </a:solidFill>
              <a:prstDash val="sysDot"/>
            </a:ln>
          </c:spPr>
          <c:marker>
            <c:symbol val="none"/>
          </c:marker>
          <c:xVal>
            <c:numRef>
              <c:f>vanGenuchtenSchematic!$D$21:$D$22</c:f>
              <c:numCache>
                <c:formatCode>0.00E+00</c:formatCode>
                <c:ptCount val="2"/>
                <c:pt idx="0">
                  <c:v>0.25</c:v>
                </c:pt>
                <c:pt idx="1">
                  <c:v>0.35</c:v>
                </c:pt>
              </c:numCache>
            </c:numRef>
          </c:xVal>
          <c:yVal>
            <c:numRef>
              <c:f>vanGenuchtenSchematic!$E$21:$E$22</c:f>
              <c:numCache>
                <c:formatCode>0.00E+00</c:formatCode>
                <c:ptCount val="2"/>
                <c:pt idx="0">
                  <c:v>340</c:v>
                </c:pt>
                <c:pt idx="1">
                  <c:v>340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A0D-E045-BB4F-5520BB5BA369}"/>
            </c:ext>
          </c:extLst>
        </c:ser>
        <c:ser>
          <c:idx val="8"/>
          <c:order val="3"/>
          <c:spPr>
            <a:ln w="25400">
              <a:solidFill>
                <a:schemeClr val="tx1"/>
              </a:solidFill>
              <a:prstDash val="sysDot"/>
            </a:ln>
          </c:spPr>
          <c:marker>
            <c:symbol val="none"/>
          </c:marker>
          <c:xVal>
            <c:numRef>
              <c:f>vanGenuchtenSchematic!$D$26:$D$27</c:f>
              <c:numCache>
                <c:formatCode>0.00E+00</c:formatCode>
                <c:ptCount val="2"/>
                <c:pt idx="0">
                  <c:v>0.08</c:v>
                </c:pt>
                <c:pt idx="1">
                  <c:v>0.12</c:v>
                </c:pt>
              </c:numCache>
            </c:numRef>
          </c:xVal>
          <c:yVal>
            <c:numRef>
              <c:f>vanGenuchtenSchematic!$E$26:$E$27</c:f>
              <c:numCache>
                <c:formatCode>0.00E+00</c:formatCode>
                <c:ptCount val="2"/>
                <c:pt idx="0">
                  <c:v>20000</c:v>
                </c:pt>
                <c:pt idx="1">
                  <c:v>20000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A0D-E045-BB4F-5520BB5BA369}"/>
            </c:ext>
          </c:extLst>
        </c:ser>
        <c:ser>
          <c:idx val="9"/>
          <c:order val="4"/>
          <c:spPr>
            <a:ln w="25400">
              <a:solidFill>
                <a:schemeClr val="tx1"/>
              </a:solidFill>
              <a:prstDash val="sysDot"/>
            </a:ln>
          </c:spPr>
          <c:marker>
            <c:symbol val="none"/>
          </c:marker>
          <c:xVal>
            <c:numRef>
              <c:f>vanGenuchtenSchematic!$D$30:$D$31</c:f>
              <c:numCache>
                <c:formatCode>0.00E+00</c:formatCode>
                <c:ptCount val="2"/>
                <c:pt idx="0">
                  <c:v>0.47</c:v>
                </c:pt>
                <c:pt idx="1">
                  <c:v>0.53</c:v>
                </c:pt>
              </c:numCache>
            </c:numRef>
          </c:xVal>
          <c:yVal>
            <c:numRef>
              <c:f>vanGenuchtenSchematic!$E$30:$E$31</c:f>
              <c:numCache>
                <c:formatCode>0.00E+00</c:formatCode>
                <c:ptCount val="2"/>
                <c:pt idx="0">
                  <c:v>35</c:v>
                </c:pt>
                <c:pt idx="1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A0D-E045-BB4F-5520BB5BA369}"/>
            </c:ext>
          </c:extLst>
        </c:ser>
        <c:ser>
          <c:idx val="4"/>
          <c:order val="5"/>
          <c:spPr>
            <a:ln w="2540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vanGenuchtenSchematic!$B$17:$B$62</c:f>
              <c:numCache>
                <c:formatCode>General</c:formatCode>
                <c:ptCount val="46"/>
                <c:pt idx="0">
                  <c:v>0.10009999999999999</c:v>
                </c:pt>
                <c:pt idx="1">
                  <c:v>0.10100000000000001</c:v>
                </c:pt>
                <c:pt idx="2">
                  <c:v>0.10199999999999999</c:v>
                </c:pt>
                <c:pt idx="3">
                  <c:v>0.104</c:v>
                </c:pt>
                <c:pt idx="4">
                  <c:v>0.108</c:v>
                </c:pt>
                <c:pt idx="5">
                  <c:v>0.11</c:v>
                </c:pt>
                <c:pt idx="6">
                  <c:v>0.12</c:v>
                </c:pt>
                <c:pt idx="7">
                  <c:v>0.13</c:v>
                </c:pt>
                <c:pt idx="8">
                  <c:v>0.14000000000000001</c:v>
                </c:pt>
                <c:pt idx="9">
                  <c:v>0.15000000000000002</c:v>
                </c:pt>
                <c:pt idx="10">
                  <c:v>0.16000000000000003</c:v>
                </c:pt>
                <c:pt idx="11">
                  <c:v>0.17000000000000004</c:v>
                </c:pt>
                <c:pt idx="12">
                  <c:v>0.18000000000000005</c:v>
                </c:pt>
                <c:pt idx="13">
                  <c:v>0.19000000000000006</c:v>
                </c:pt>
                <c:pt idx="14">
                  <c:v>0.20000000000000007</c:v>
                </c:pt>
                <c:pt idx="15">
                  <c:v>0.21000000000000008</c:v>
                </c:pt>
                <c:pt idx="16">
                  <c:v>0.22000000000000008</c:v>
                </c:pt>
                <c:pt idx="17">
                  <c:v>0.23000000000000009</c:v>
                </c:pt>
                <c:pt idx="18">
                  <c:v>0.2400000000000001</c:v>
                </c:pt>
                <c:pt idx="19">
                  <c:v>0.25000000000000011</c:v>
                </c:pt>
                <c:pt idx="20">
                  <c:v>0.26000000000000012</c:v>
                </c:pt>
                <c:pt idx="21">
                  <c:v>0.27000000000000013</c:v>
                </c:pt>
                <c:pt idx="22">
                  <c:v>0.28000000000000014</c:v>
                </c:pt>
                <c:pt idx="23">
                  <c:v>0.29000000000000015</c:v>
                </c:pt>
                <c:pt idx="24">
                  <c:v>0.30000000000000016</c:v>
                </c:pt>
                <c:pt idx="25">
                  <c:v>0.31000000000000016</c:v>
                </c:pt>
                <c:pt idx="26">
                  <c:v>0.32000000000000017</c:v>
                </c:pt>
                <c:pt idx="27">
                  <c:v>0.33000000000000018</c:v>
                </c:pt>
                <c:pt idx="28">
                  <c:v>0.34000000000000019</c:v>
                </c:pt>
                <c:pt idx="29">
                  <c:v>0.3500000000000002</c:v>
                </c:pt>
                <c:pt idx="30">
                  <c:v>0.36000000000000021</c:v>
                </c:pt>
                <c:pt idx="31">
                  <c:v>0.37000000000000022</c:v>
                </c:pt>
                <c:pt idx="32">
                  <c:v>0.38000000000000023</c:v>
                </c:pt>
                <c:pt idx="33">
                  <c:v>0.39000000000000024</c:v>
                </c:pt>
                <c:pt idx="34">
                  <c:v>0.40000000000000024</c:v>
                </c:pt>
                <c:pt idx="35">
                  <c:v>0.41000000000000025</c:v>
                </c:pt>
                <c:pt idx="36">
                  <c:v>0.42000000000000026</c:v>
                </c:pt>
                <c:pt idx="37">
                  <c:v>0.43000000000000027</c:v>
                </c:pt>
                <c:pt idx="38">
                  <c:v>0.44000000000000028</c:v>
                </c:pt>
                <c:pt idx="39">
                  <c:v>0.45000000000000029</c:v>
                </c:pt>
                <c:pt idx="40">
                  <c:v>0.4600000000000003</c:v>
                </c:pt>
                <c:pt idx="41">
                  <c:v>0.47000000000000031</c:v>
                </c:pt>
                <c:pt idx="42">
                  <c:v>0.48000000000000032</c:v>
                </c:pt>
                <c:pt idx="43">
                  <c:v>0.49000000000000032</c:v>
                </c:pt>
                <c:pt idx="44">
                  <c:v>0.495</c:v>
                </c:pt>
                <c:pt idx="45">
                  <c:v>0.5</c:v>
                </c:pt>
              </c:numCache>
            </c:numRef>
          </c:xVal>
          <c:yVal>
            <c:numRef>
              <c:f>vanGenuchtenSchematic!$C$17:$C$62</c:f>
              <c:numCache>
                <c:formatCode>0.00E+00</c:formatCode>
                <c:ptCount val="46"/>
                <c:pt idx="0">
                  <c:v>799999.97500008764</c:v>
                </c:pt>
                <c:pt idx="1">
                  <c:v>79999.749999609296</c:v>
                </c:pt>
                <c:pt idx="2">
                  <c:v>39999.499996875202</c:v>
                </c:pt>
                <c:pt idx="3">
                  <c:v>19998.999974998802</c:v>
                </c:pt>
                <c:pt idx="4">
                  <c:v>9997.9997999599982</c:v>
                </c:pt>
                <c:pt idx="5">
                  <c:v>7997.4996092528854</c:v>
                </c:pt>
                <c:pt idx="6">
                  <c:v>3994.9968710876378</c:v>
                </c:pt>
                <c:pt idx="7">
                  <c:v>2659.1560900238837</c:v>
                </c:pt>
                <c:pt idx="8">
                  <c:v>1989.9748742132394</c:v>
                </c:pt>
                <c:pt idx="9">
                  <c:v>1587.4507866387542</c:v>
                </c:pt>
                <c:pt idx="10">
                  <c:v>1318.2479955523454</c:v>
                </c:pt>
                <c:pt idx="11">
                  <c:v>1125.2210667151548</c:v>
                </c:pt>
                <c:pt idx="12">
                  <c:v>979.79589711327083</c:v>
                </c:pt>
                <c:pt idx="13">
                  <c:v>866.0966786624474</c:v>
                </c:pt>
                <c:pt idx="14">
                  <c:v>774.59666924148303</c:v>
                </c:pt>
                <c:pt idx="15">
                  <c:v>699.23216447379639</c:v>
                </c:pt>
                <c:pt idx="16">
                  <c:v>635.95946761129676</c:v>
                </c:pt>
                <c:pt idx="17">
                  <c:v>581.97785598085318</c:v>
                </c:pt>
                <c:pt idx="18">
                  <c:v>535.28554271986241</c:v>
                </c:pt>
                <c:pt idx="19">
                  <c:v>494.41323247304388</c:v>
                </c:pt>
                <c:pt idx="20">
                  <c:v>458.25756949558365</c:v>
                </c:pt>
                <c:pt idx="21">
                  <c:v>425.97334094662733</c:v>
                </c:pt>
                <c:pt idx="22">
                  <c:v>396.90157998870529</c:v>
                </c:pt>
                <c:pt idx="23">
                  <c:v>370.52033487995845</c:v>
                </c:pt>
                <c:pt idx="24">
                  <c:v>346.41016151377517</c:v>
                </c:pt>
                <c:pt idx="25">
                  <c:v>324.2294196295083</c:v>
                </c:pt>
                <c:pt idx="26">
                  <c:v>303.69623797254633</c:v>
                </c:pt>
                <c:pt idx="27">
                  <c:v>284.57509864267053</c:v>
                </c:pt>
                <c:pt idx="28">
                  <c:v>266.6666666666664</c:v>
                </c:pt>
                <c:pt idx="29">
                  <c:v>249.79991993593552</c:v>
                </c:pt>
                <c:pt idx="30">
                  <c:v>233.8259100549329</c:v>
                </c:pt>
                <c:pt idx="31">
                  <c:v>218.61266019812865</c:v>
                </c:pt>
                <c:pt idx="32">
                  <c:v>204.04081224408111</c:v>
                </c:pt>
                <c:pt idx="33">
                  <c:v>189.99968708904669</c:v>
                </c:pt>
                <c:pt idx="34">
                  <c:v>176.38342073763903</c:v>
                </c:pt>
                <c:pt idx="35">
                  <c:v>163.08676980341303</c:v>
                </c:pt>
                <c:pt idx="36">
                  <c:v>149.99999999999966</c:v>
                </c:pt>
                <c:pt idx="37">
                  <c:v>137.00187339948221</c:v>
                </c:pt>
                <c:pt idx="38">
                  <c:v>123.94886768062008</c:v>
                </c:pt>
                <c:pt idx="39">
                  <c:v>110.65666703449722</c:v>
                </c:pt>
                <c:pt idx="40">
                  <c:v>96.864420967570098</c:v>
                </c:pt>
                <c:pt idx="41">
                  <c:v>82.155049478759835</c:v>
                </c:pt>
                <c:pt idx="42">
                  <c:v>65.736821035772024</c:v>
                </c:pt>
                <c:pt idx="43">
                  <c:v>45.580484191361201</c:v>
                </c:pt>
                <c:pt idx="44">
                  <c:v>31.922835982072158</c:v>
                </c:pt>
                <c:pt idx="45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0D-E045-BB4F-5520BB5BA369}"/>
            </c:ext>
          </c:extLst>
        </c:ser>
        <c:ser>
          <c:idx val="0"/>
          <c:order val="6"/>
          <c:spPr>
            <a:ln w="2540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vanGenuchtenSchematic!$D$17:$D$18</c:f>
              <c:numCache>
                <c:formatCode>0.00E+00</c:formatCode>
                <c:ptCount val="2"/>
                <c:pt idx="0">
                  <c:v>0.1</c:v>
                </c:pt>
                <c:pt idx="1">
                  <c:v>0.1</c:v>
                </c:pt>
              </c:numCache>
            </c:numRef>
          </c:xVal>
          <c:yVal>
            <c:numRef>
              <c:f>vanGenuchtenSchematic!$E$17:$E$18</c:f>
              <c:numCache>
                <c:formatCode>0.00E+00</c:formatCode>
                <c:ptCount val="2"/>
                <c:pt idx="0">
                  <c:v>1</c:v>
                </c:pt>
                <c:pt idx="1">
                  <c:v>100000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0D-E045-BB4F-5520BB5BA369}"/>
            </c:ext>
          </c:extLst>
        </c:ser>
        <c:ser>
          <c:idx val="1"/>
          <c:order val="7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vanGenuchtenSchematic!$D$21:$D$22</c:f>
              <c:numCache>
                <c:formatCode>0.00E+00</c:formatCode>
                <c:ptCount val="2"/>
                <c:pt idx="0">
                  <c:v>0.25</c:v>
                </c:pt>
                <c:pt idx="1">
                  <c:v>0.35</c:v>
                </c:pt>
              </c:numCache>
            </c:numRef>
          </c:xVal>
          <c:yVal>
            <c:numRef>
              <c:f>vanGenuchtenSchematic!$E$21:$E$22</c:f>
              <c:numCache>
                <c:formatCode>0.00E+00</c:formatCode>
                <c:ptCount val="2"/>
                <c:pt idx="0">
                  <c:v>340</c:v>
                </c:pt>
                <c:pt idx="1">
                  <c:v>340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0D-E045-BB4F-5520BB5BA369}"/>
            </c:ext>
          </c:extLst>
        </c:ser>
        <c:ser>
          <c:idx val="2"/>
          <c:order val="8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vanGenuchtenSchematic!$D$26:$D$27</c:f>
              <c:numCache>
                <c:formatCode>0.00E+00</c:formatCode>
                <c:ptCount val="2"/>
                <c:pt idx="0">
                  <c:v>0.08</c:v>
                </c:pt>
                <c:pt idx="1">
                  <c:v>0.12</c:v>
                </c:pt>
              </c:numCache>
            </c:numRef>
          </c:xVal>
          <c:yVal>
            <c:numRef>
              <c:f>vanGenuchtenSchematic!$E$26:$E$27</c:f>
              <c:numCache>
                <c:formatCode>0.00E+00</c:formatCode>
                <c:ptCount val="2"/>
                <c:pt idx="0">
                  <c:v>20000</c:v>
                </c:pt>
                <c:pt idx="1">
                  <c:v>20000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0D-E045-BB4F-5520BB5BA369}"/>
            </c:ext>
          </c:extLst>
        </c:ser>
        <c:ser>
          <c:idx val="3"/>
          <c:order val="9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vanGenuchtenSchematic!$D$30:$D$31</c:f>
              <c:numCache>
                <c:formatCode>0.00E+00</c:formatCode>
                <c:ptCount val="2"/>
                <c:pt idx="0">
                  <c:v>0.47</c:v>
                </c:pt>
                <c:pt idx="1">
                  <c:v>0.53</c:v>
                </c:pt>
              </c:numCache>
            </c:numRef>
          </c:xVal>
          <c:yVal>
            <c:numRef>
              <c:f>vanGenuchtenSchematic!$E$30:$E$31</c:f>
              <c:numCache>
                <c:formatCode>0.00E+00</c:formatCode>
                <c:ptCount val="2"/>
                <c:pt idx="0">
                  <c:v>35</c:v>
                </c:pt>
                <c:pt idx="1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0D-E045-BB4F-5520BB5BA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562943"/>
        <c:axId val="723706335"/>
      </c:scatterChart>
      <c:scatterChart>
        <c:scatterStyle val="lineMarker"/>
        <c:varyColors val="0"/>
        <c:ser>
          <c:idx val="10"/>
          <c:order val="1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vanGenuchtenSchematic!$A$17:$A$62</c:f>
              <c:numCache>
                <c:formatCode>General</c:formatCode>
                <c:ptCount val="46"/>
                <c:pt idx="0">
                  <c:v>0.20019999999999999</c:v>
                </c:pt>
                <c:pt idx="1">
                  <c:v>0.20200000000000001</c:v>
                </c:pt>
                <c:pt idx="2">
                  <c:v>0.20399999999999999</c:v>
                </c:pt>
                <c:pt idx="3">
                  <c:v>0.20799999999999999</c:v>
                </c:pt>
                <c:pt idx="4">
                  <c:v>0.216</c:v>
                </c:pt>
                <c:pt idx="5">
                  <c:v>0.22</c:v>
                </c:pt>
                <c:pt idx="6">
                  <c:v>0.24</c:v>
                </c:pt>
                <c:pt idx="7">
                  <c:v>0.26</c:v>
                </c:pt>
                <c:pt idx="8">
                  <c:v>0.28000000000000003</c:v>
                </c:pt>
                <c:pt idx="9">
                  <c:v>0.30000000000000004</c:v>
                </c:pt>
                <c:pt idx="10">
                  <c:v>0.32000000000000006</c:v>
                </c:pt>
                <c:pt idx="11">
                  <c:v>0.34000000000000008</c:v>
                </c:pt>
                <c:pt idx="12">
                  <c:v>0.3600000000000001</c:v>
                </c:pt>
                <c:pt idx="13">
                  <c:v>0.38000000000000012</c:v>
                </c:pt>
                <c:pt idx="14">
                  <c:v>0.40000000000000013</c:v>
                </c:pt>
                <c:pt idx="15">
                  <c:v>0.42000000000000015</c:v>
                </c:pt>
                <c:pt idx="16">
                  <c:v>0.44000000000000017</c:v>
                </c:pt>
                <c:pt idx="17">
                  <c:v>0.46000000000000019</c:v>
                </c:pt>
                <c:pt idx="18">
                  <c:v>0.4800000000000002</c:v>
                </c:pt>
                <c:pt idx="19">
                  <c:v>0.50000000000000022</c:v>
                </c:pt>
                <c:pt idx="20">
                  <c:v>0.52000000000000024</c:v>
                </c:pt>
                <c:pt idx="21">
                  <c:v>0.54000000000000026</c:v>
                </c:pt>
                <c:pt idx="22">
                  <c:v>0.56000000000000028</c:v>
                </c:pt>
                <c:pt idx="23">
                  <c:v>0.58000000000000029</c:v>
                </c:pt>
                <c:pt idx="24">
                  <c:v>0.60000000000000031</c:v>
                </c:pt>
                <c:pt idx="25">
                  <c:v>0.62000000000000033</c:v>
                </c:pt>
                <c:pt idx="26">
                  <c:v>0.64000000000000035</c:v>
                </c:pt>
                <c:pt idx="27">
                  <c:v>0.66000000000000036</c:v>
                </c:pt>
                <c:pt idx="28">
                  <c:v>0.68000000000000038</c:v>
                </c:pt>
                <c:pt idx="29">
                  <c:v>0.7000000000000004</c:v>
                </c:pt>
                <c:pt idx="30">
                  <c:v>0.72000000000000042</c:v>
                </c:pt>
                <c:pt idx="31">
                  <c:v>0.74000000000000044</c:v>
                </c:pt>
                <c:pt idx="32">
                  <c:v>0.76000000000000045</c:v>
                </c:pt>
                <c:pt idx="33">
                  <c:v>0.78000000000000047</c:v>
                </c:pt>
                <c:pt idx="34">
                  <c:v>0.80000000000000049</c:v>
                </c:pt>
                <c:pt idx="35">
                  <c:v>0.82000000000000051</c:v>
                </c:pt>
                <c:pt idx="36">
                  <c:v>0.84000000000000052</c:v>
                </c:pt>
                <c:pt idx="37">
                  <c:v>0.86000000000000054</c:v>
                </c:pt>
                <c:pt idx="38">
                  <c:v>0.88000000000000056</c:v>
                </c:pt>
                <c:pt idx="39">
                  <c:v>0.90000000000000058</c:v>
                </c:pt>
                <c:pt idx="40">
                  <c:v>0.9200000000000006</c:v>
                </c:pt>
                <c:pt idx="41">
                  <c:v>0.94000000000000061</c:v>
                </c:pt>
                <c:pt idx="42">
                  <c:v>0.96000000000000063</c:v>
                </c:pt>
                <c:pt idx="43">
                  <c:v>0.98000000000000065</c:v>
                </c:pt>
                <c:pt idx="44">
                  <c:v>0.99</c:v>
                </c:pt>
                <c:pt idx="45">
                  <c:v>1</c:v>
                </c:pt>
              </c:numCache>
            </c:numRef>
          </c:xVal>
          <c:yVal>
            <c:numRef>
              <c:f>vanGenuchtenSchematic!$C$17:$C$62</c:f>
              <c:numCache>
                <c:formatCode>0.00E+00</c:formatCode>
                <c:ptCount val="46"/>
                <c:pt idx="0">
                  <c:v>799999.97500008764</c:v>
                </c:pt>
                <c:pt idx="1">
                  <c:v>79999.749999609296</c:v>
                </c:pt>
                <c:pt idx="2">
                  <c:v>39999.499996875202</c:v>
                </c:pt>
                <c:pt idx="3">
                  <c:v>19998.999974998802</c:v>
                </c:pt>
                <c:pt idx="4">
                  <c:v>9997.9997999599982</c:v>
                </c:pt>
                <c:pt idx="5">
                  <c:v>7997.4996092528854</c:v>
                </c:pt>
                <c:pt idx="6">
                  <c:v>3994.9968710876378</c:v>
                </c:pt>
                <c:pt idx="7">
                  <c:v>2659.1560900238837</c:v>
                </c:pt>
                <c:pt idx="8">
                  <c:v>1989.9748742132394</c:v>
                </c:pt>
                <c:pt idx="9">
                  <c:v>1587.4507866387542</c:v>
                </c:pt>
                <c:pt idx="10">
                  <c:v>1318.2479955523454</c:v>
                </c:pt>
                <c:pt idx="11">
                  <c:v>1125.2210667151548</c:v>
                </c:pt>
                <c:pt idx="12">
                  <c:v>979.79589711327083</c:v>
                </c:pt>
                <c:pt idx="13">
                  <c:v>866.0966786624474</c:v>
                </c:pt>
                <c:pt idx="14">
                  <c:v>774.59666924148303</c:v>
                </c:pt>
                <c:pt idx="15">
                  <c:v>699.23216447379639</c:v>
                </c:pt>
                <c:pt idx="16">
                  <c:v>635.95946761129676</c:v>
                </c:pt>
                <c:pt idx="17">
                  <c:v>581.97785598085318</c:v>
                </c:pt>
                <c:pt idx="18">
                  <c:v>535.28554271986241</c:v>
                </c:pt>
                <c:pt idx="19">
                  <c:v>494.41323247304388</c:v>
                </c:pt>
                <c:pt idx="20">
                  <c:v>458.25756949558365</c:v>
                </c:pt>
                <c:pt idx="21">
                  <c:v>425.97334094662733</c:v>
                </c:pt>
                <c:pt idx="22">
                  <c:v>396.90157998870529</c:v>
                </c:pt>
                <c:pt idx="23">
                  <c:v>370.52033487995845</c:v>
                </c:pt>
                <c:pt idx="24">
                  <c:v>346.41016151377517</c:v>
                </c:pt>
                <c:pt idx="25">
                  <c:v>324.2294196295083</c:v>
                </c:pt>
                <c:pt idx="26">
                  <c:v>303.69623797254633</c:v>
                </c:pt>
                <c:pt idx="27">
                  <c:v>284.57509864267053</c:v>
                </c:pt>
                <c:pt idx="28">
                  <c:v>266.6666666666664</c:v>
                </c:pt>
                <c:pt idx="29">
                  <c:v>249.79991993593552</c:v>
                </c:pt>
                <c:pt idx="30">
                  <c:v>233.8259100549329</c:v>
                </c:pt>
                <c:pt idx="31">
                  <c:v>218.61266019812865</c:v>
                </c:pt>
                <c:pt idx="32">
                  <c:v>204.04081224408111</c:v>
                </c:pt>
                <c:pt idx="33">
                  <c:v>189.99968708904669</c:v>
                </c:pt>
                <c:pt idx="34">
                  <c:v>176.38342073763903</c:v>
                </c:pt>
                <c:pt idx="35">
                  <c:v>163.08676980341303</c:v>
                </c:pt>
                <c:pt idx="36">
                  <c:v>149.99999999999966</c:v>
                </c:pt>
                <c:pt idx="37">
                  <c:v>137.00187339948221</c:v>
                </c:pt>
                <c:pt idx="38">
                  <c:v>123.94886768062008</c:v>
                </c:pt>
                <c:pt idx="39">
                  <c:v>110.65666703449722</c:v>
                </c:pt>
                <c:pt idx="40">
                  <c:v>96.864420967570098</c:v>
                </c:pt>
                <c:pt idx="41">
                  <c:v>82.155049478759835</c:v>
                </c:pt>
                <c:pt idx="42">
                  <c:v>65.736821035772024</c:v>
                </c:pt>
                <c:pt idx="43">
                  <c:v>45.580484191361201</c:v>
                </c:pt>
                <c:pt idx="44">
                  <c:v>31.922835982072158</c:v>
                </c:pt>
                <c:pt idx="45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A0D-E045-BB4F-5520BB5BA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464944"/>
        <c:axId val="713461968"/>
      </c:scatterChart>
      <c:valAx>
        <c:axId val="723562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Water content (top row); Saturation (bottom row)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706335"/>
        <c:crosses val="autoZero"/>
        <c:crossBetween val="midCat"/>
      </c:valAx>
      <c:valAx>
        <c:axId val="723706335"/>
        <c:scaling>
          <c:logBase val="10"/>
          <c:orientation val="minMax"/>
          <c:max val="1000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|</a:t>
                </a:r>
                <a:r>
                  <a:rPr lang="en-US" sz="1200" baseline="0">
                    <a:latin typeface="Symbol" pitchFamily="2" charset="2"/>
                  </a:rPr>
                  <a:t>Y</a:t>
                </a:r>
                <a:r>
                  <a:rPr lang="en-US" sz="1200" baseline="0"/>
                  <a:t>|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562943"/>
        <c:crosses val="autoZero"/>
        <c:crossBetween val="midCat"/>
      </c:valAx>
      <c:valAx>
        <c:axId val="713461968"/>
        <c:scaling>
          <c:logBase val="10"/>
          <c:orientation val="minMax"/>
        </c:scaling>
        <c:delete val="1"/>
        <c:axPos val="l"/>
        <c:numFmt formatCode="0.00E+00" sourceLinked="1"/>
        <c:majorTickMark val="out"/>
        <c:minorTickMark val="none"/>
        <c:tickLblPos val="nextTo"/>
        <c:crossAx val="713464944"/>
        <c:crossesAt val="0"/>
        <c:crossBetween val="midCat"/>
      </c:valAx>
      <c:valAx>
        <c:axId val="713464944"/>
        <c:scaling>
          <c:orientation val="minMax"/>
          <c:max val="1.2"/>
          <c:min val="0"/>
        </c:scaling>
        <c:delete val="0"/>
        <c:axPos val="t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1200"/>
            </a:pPr>
            <a:endParaRPr lang="en-US"/>
          </a:p>
        </c:txPr>
        <c:crossAx val="713461968"/>
        <c:crosses val="max"/>
        <c:crossBetween val="midCat"/>
        <c:majorUnit val="0.25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Retention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5"/>
          <c:order val="0"/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vanGenuchtenSchematic!$B$17:$B$62</c:f>
              <c:numCache>
                <c:formatCode>General</c:formatCode>
                <c:ptCount val="46"/>
                <c:pt idx="0">
                  <c:v>0.10009999999999999</c:v>
                </c:pt>
                <c:pt idx="1">
                  <c:v>0.10100000000000001</c:v>
                </c:pt>
                <c:pt idx="2">
                  <c:v>0.10199999999999999</c:v>
                </c:pt>
                <c:pt idx="3">
                  <c:v>0.104</c:v>
                </c:pt>
                <c:pt idx="4">
                  <c:v>0.108</c:v>
                </c:pt>
                <c:pt idx="5">
                  <c:v>0.11</c:v>
                </c:pt>
                <c:pt idx="6">
                  <c:v>0.12</c:v>
                </c:pt>
                <c:pt idx="7">
                  <c:v>0.13</c:v>
                </c:pt>
                <c:pt idx="8">
                  <c:v>0.14000000000000001</c:v>
                </c:pt>
                <c:pt idx="9">
                  <c:v>0.15000000000000002</c:v>
                </c:pt>
                <c:pt idx="10">
                  <c:v>0.16000000000000003</c:v>
                </c:pt>
                <c:pt idx="11">
                  <c:v>0.17000000000000004</c:v>
                </c:pt>
                <c:pt idx="12">
                  <c:v>0.18000000000000005</c:v>
                </c:pt>
                <c:pt idx="13">
                  <c:v>0.19000000000000006</c:v>
                </c:pt>
                <c:pt idx="14">
                  <c:v>0.20000000000000007</c:v>
                </c:pt>
                <c:pt idx="15">
                  <c:v>0.21000000000000008</c:v>
                </c:pt>
                <c:pt idx="16">
                  <c:v>0.22000000000000008</c:v>
                </c:pt>
                <c:pt idx="17">
                  <c:v>0.23000000000000009</c:v>
                </c:pt>
                <c:pt idx="18">
                  <c:v>0.2400000000000001</c:v>
                </c:pt>
                <c:pt idx="19">
                  <c:v>0.25000000000000011</c:v>
                </c:pt>
                <c:pt idx="20">
                  <c:v>0.26000000000000012</c:v>
                </c:pt>
                <c:pt idx="21">
                  <c:v>0.27000000000000013</c:v>
                </c:pt>
                <c:pt idx="22">
                  <c:v>0.28000000000000014</c:v>
                </c:pt>
                <c:pt idx="23">
                  <c:v>0.29000000000000015</c:v>
                </c:pt>
                <c:pt idx="24">
                  <c:v>0.30000000000000016</c:v>
                </c:pt>
                <c:pt idx="25">
                  <c:v>0.31000000000000016</c:v>
                </c:pt>
                <c:pt idx="26">
                  <c:v>0.32000000000000017</c:v>
                </c:pt>
                <c:pt idx="27">
                  <c:v>0.33000000000000018</c:v>
                </c:pt>
                <c:pt idx="28">
                  <c:v>0.34000000000000019</c:v>
                </c:pt>
                <c:pt idx="29">
                  <c:v>0.3500000000000002</c:v>
                </c:pt>
                <c:pt idx="30">
                  <c:v>0.36000000000000021</c:v>
                </c:pt>
                <c:pt idx="31">
                  <c:v>0.37000000000000022</c:v>
                </c:pt>
                <c:pt idx="32">
                  <c:v>0.38000000000000023</c:v>
                </c:pt>
                <c:pt idx="33">
                  <c:v>0.39000000000000024</c:v>
                </c:pt>
                <c:pt idx="34">
                  <c:v>0.40000000000000024</c:v>
                </c:pt>
                <c:pt idx="35">
                  <c:v>0.41000000000000025</c:v>
                </c:pt>
                <c:pt idx="36">
                  <c:v>0.42000000000000026</c:v>
                </c:pt>
                <c:pt idx="37">
                  <c:v>0.43000000000000027</c:v>
                </c:pt>
                <c:pt idx="38">
                  <c:v>0.44000000000000028</c:v>
                </c:pt>
                <c:pt idx="39">
                  <c:v>0.45000000000000029</c:v>
                </c:pt>
                <c:pt idx="40">
                  <c:v>0.4600000000000003</c:v>
                </c:pt>
                <c:pt idx="41">
                  <c:v>0.47000000000000031</c:v>
                </c:pt>
                <c:pt idx="42">
                  <c:v>0.48000000000000032</c:v>
                </c:pt>
                <c:pt idx="43">
                  <c:v>0.49000000000000032</c:v>
                </c:pt>
                <c:pt idx="44">
                  <c:v>0.495</c:v>
                </c:pt>
                <c:pt idx="45">
                  <c:v>0.5</c:v>
                </c:pt>
              </c:numCache>
            </c:numRef>
          </c:xVal>
          <c:yVal>
            <c:numRef>
              <c:f>vanGenuchtenSchematic!$C$17:$C$62</c:f>
              <c:numCache>
                <c:formatCode>0.00E+00</c:formatCode>
                <c:ptCount val="46"/>
                <c:pt idx="0">
                  <c:v>799999.97500008764</c:v>
                </c:pt>
                <c:pt idx="1">
                  <c:v>79999.749999609296</c:v>
                </c:pt>
                <c:pt idx="2">
                  <c:v>39999.499996875202</c:v>
                </c:pt>
                <c:pt idx="3">
                  <c:v>19998.999974998802</c:v>
                </c:pt>
                <c:pt idx="4">
                  <c:v>9997.9997999599982</c:v>
                </c:pt>
                <c:pt idx="5">
                  <c:v>7997.4996092528854</c:v>
                </c:pt>
                <c:pt idx="6">
                  <c:v>3994.9968710876378</c:v>
                </c:pt>
                <c:pt idx="7">
                  <c:v>2659.1560900238837</c:v>
                </c:pt>
                <c:pt idx="8">
                  <c:v>1989.9748742132394</c:v>
                </c:pt>
                <c:pt idx="9">
                  <c:v>1587.4507866387542</c:v>
                </c:pt>
                <c:pt idx="10">
                  <c:v>1318.2479955523454</c:v>
                </c:pt>
                <c:pt idx="11">
                  <c:v>1125.2210667151548</c:v>
                </c:pt>
                <c:pt idx="12">
                  <c:v>979.79589711327083</c:v>
                </c:pt>
                <c:pt idx="13">
                  <c:v>866.0966786624474</c:v>
                </c:pt>
                <c:pt idx="14">
                  <c:v>774.59666924148303</c:v>
                </c:pt>
                <c:pt idx="15">
                  <c:v>699.23216447379639</c:v>
                </c:pt>
                <c:pt idx="16">
                  <c:v>635.95946761129676</c:v>
                </c:pt>
                <c:pt idx="17">
                  <c:v>581.97785598085318</c:v>
                </c:pt>
                <c:pt idx="18">
                  <c:v>535.28554271986241</c:v>
                </c:pt>
                <c:pt idx="19">
                  <c:v>494.41323247304388</c:v>
                </c:pt>
                <c:pt idx="20">
                  <c:v>458.25756949558365</c:v>
                </c:pt>
                <c:pt idx="21">
                  <c:v>425.97334094662733</c:v>
                </c:pt>
                <c:pt idx="22">
                  <c:v>396.90157998870529</c:v>
                </c:pt>
                <c:pt idx="23">
                  <c:v>370.52033487995845</c:v>
                </c:pt>
                <c:pt idx="24">
                  <c:v>346.41016151377517</c:v>
                </c:pt>
                <c:pt idx="25">
                  <c:v>324.2294196295083</c:v>
                </c:pt>
                <c:pt idx="26">
                  <c:v>303.69623797254633</c:v>
                </c:pt>
                <c:pt idx="27">
                  <c:v>284.57509864267053</c:v>
                </c:pt>
                <c:pt idx="28">
                  <c:v>266.6666666666664</c:v>
                </c:pt>
                <c:pt idx="29">
                  <c:v>249.79991993593552</c:v>
                </c:pt>
                <c:pt idx="30">
                  <c:v>233.8259100549329</c:v>
                </c:pt>
                <c:pt idx="31">
                  <c:v>218.61266019812865</c:v>
                </c:pt>
                <c:pt idx="32">
                  <c:v>204.04081224408111</c:v>
                </c:pt>
                <c:pt idx="33">
                  <c:v>189.99968708904669</c:v>
                </c:pt>
                <c:pt idx="34">
                  <c:v>176.38342073763903</c:v>
                </c:pt>
                <c:pt idx="35">
                  <c:v>163.08676980341303</c:v>
                </c:pt>
                <c:pt idx="36">
                  <c:v>149.99999999999966</c:v>
                </c:pt>
                <c:pt idx="37">
                  <c:v>137.00187339948221</c:v>
                </c:pt>
                <c:pt idx="38">
                  <c:v>123.94886768062008</c:v>
                </c:pt>
                <c:pt idx="39">
                  <c:v>110.65666703449722</c:v>
                </c:pt>
                <c:pt idx="40">
                  <c:v>96.864420967570098</c:v>
                </c:pt>
                <c:pt idx="41">
                  <c:v>82.155049478759835</c:v>
                </c:pt>
                <c:pt idx="42">
                  <c:v>65.736821035772024</c:v>
                </c:pt>
                <c:pt idx="43">
                  <c:v>45.580484191361201</c:v>
                </c:pt>
                <c:pt idx="44">
                  <c:v>31.922835982072158</c:v>
                </c:pt>
                <c:pt idx="45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FF-B541-AC85-C97987488914}"/>
            </c:ext>
          </c:extLst>
        </c:ser>
        <c:ser>
          <c:idx val="6"/>
          <c:order val="1"/>
          <c:spPr>
            <a:ln w="25400">
              <a:solidFill>
                <a:schemeClr val="bg1">
                  <a:lumMod val="50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vanGenuchtenSchematic!$D$17:$D$18</c:f>
              <c:numCache>
                <c:formatCode>0.00E+00</c:formatCode>
                <c:ptCount val="2"/>
                <c:pt idx="0">
                  <c:v>0.1</c:v>
                </c:pt>
                <c:pt idx="1">
                  <c:v>0.1</c:v>
                </c:pt>
              </c:numCache>
            </c:numRef>
          </c:xVal>
          <c:yVal>
            <c:numRef>
              <c:f>vanGenuchtenSchematic!$E$17:$E$18</c:f>
              <c:numCache>
                <c:formatCode>0.00E+00</c:formatCode>
                <c:ptCount val="2"/>
                <c:pt idx="0">
                  <c:v>1</c:v>
                </c:pt>
                <c:pt idx="1">
                  <c:v>100000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FF-B541-AC85-C97987488914}"/>
            </c:ext>
          </c:extLst>
        </c:ser>
        <c:ser>
          <c:idx val="7"/>
          <c:order val="2"/>
          <c:spPr>
            <a:ln w="25400">
              <a:solidFill>
                <a:schemeClr val="tx1"/>
              </a:solidFill>
              <a:prstDash val="sysDot"/>
            </a:ln>
          </c:spPr>
          <c:marker>
            <c:symbol val="none"/>
          </c:marker>
          <c:xVal>
            <c:numRef>
              <c:f>vanGenuchtenSchematic!$D$21:$D$22</c:f>
              <c:numCache>
                <c:formatCode>0.00E+00</c:formatCode>
                <c:ptCount val="2"/>
                <c:pt idx="0">
                  <c:v>0.25</c:v>
                </c:pt>
                <c:pt idx="1">
                  <c:v>0.35</c:v>
                </c:pt>
              </c:numCache>
            </c:numRef>
          </c:xVal>
          <c:yVal>
            <c:numRef>
              <c:f>vanGenuchtenSchematic!$E$21:$E$22</c:f>
              <c:numCache>
                <c:formatCode>0.00E+00</c:formatCode>
                <c:ptCount val="2"/>
                <c:pt idx="0">
                  <c:v>340</c:v>
                </c:pt>
                <c:pt idx="1">
                  <c:v>340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FF-B541-AC85-C97987488914}"/>
            </c:ext>
          </c:extLst>
        </c:ser>
        <c:ser>
          <c:idx val="8"/>
          <c:order val="3"/>
          <c:spPr>
            <a:ln w="25400">
              <a:solidFill>
                <a:schemeClr val="tx1"/>
              </a:solidFill>
              <a:prstDash val="sysDot"/>
            </a:ln>
          </c:spPr>
          <c:marker>
            <c:symbol val="none"/>
          </c:marker>
          <c:xVal>
            <c:numRef>
              <c:f>vanGenuchtenSchematic!$D$26:$D$27</c:f>
              <c:numCache>
                <c:formatCode>0.00E+00</c:formatCode>
                <c:ptCount val="2"/>
                <c:pt idx="0">
                  <c:v>0.08</c:v>
                </c:pt>
                <c:pt idx="1">
                  <c:v>0.12</c:v>
                </c:pt>
              </c:numCache>
            </c:numRef>
          </c:xVal>
          <c:yVal>
            <c:numRef>
              <c:f>vanGenuchtenSchematic!$E$26:$E$27</c:f>
              <c:numCache>
                <c:formatCode>0.00E+00</c:formatCode>
                <c:ptCount val="2"/>
                <c:pt idx="0">
                  <c:v>20000</c:v>
                </c:pt>
                <c:pt idx="1">
                  <c:v>20000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FF-B541-AC85-C97987488914}"/>
            </c:ext>
          </c:extLst>
        </c:ser>
        <c:ser>
          <c:idx val="9"/>
          <c:order val="4"/>
          <c:spPr>
            <a:ln w="25400">
              <a:solidFill>
                <a:schemeClr val="tx1"/>
              </a:solidFill>
              <a:prstDash val="sysDot"/>
            </a:ln>
          </c:spPr>
          <c:marker>
            <c:symbol val="none"/>
          </c:marker>
          <c:xVal>
            <c:numRef>
              <c:f>vanGenuchtenSchematic!$D$30:$D$31</c:f>
              <c:numCache>
                <c:formatCode>0.00E+00</c:formatCode>
                <c:ptCount val="2"/>
                <c:pt idx="0">
                  <c:v>0.47</c:v>
                </c:pt>
                <c:pt idx="1">
                  <c:v>0.53</c:v>
                </c:pt>
              </c:numCache>
            </c:numRef>
          </c:xVal>
          <c:yVal>
            <c:numRef>
              <c:f>vanGenuchtenSchematic!$E$30:$E$31</c:f>
              <c:numCache>
                <c:formatCode>0.00E+00</c:formatCode>
                <c:ptCount val="2"/>
                <c:pt idx="0">
                  <c:v>35</c:v>
                </c:pt>
                <c:pt idx="1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1FF-B541-AC85-C97987488914}"/>
            </c:ext>
          </c:extLst>
        </c:ser>
        <c:ser>
          <c:idx val="4"/>
          <c:order val="5"/>
          <c:spPr>
            <a:ln w="2540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vanGenuchtenSchematic!$B$17:$B$62</c:f>
              <c:numCache>
                <c:formatCode>General</c:formatCode>
                <c:ptCount val="46"/>
                <c:pt idx="0">
                  <c:v>0.10009999999999999</c:v>
                </c:pt>
                <c:pt idx="1">
                  <c:v>0.10100000000000001</c:v>
                </c:pt>
                <c:pt idx="2">
                  <c:v>0.10199999999999999</c:v>
                </c:pt>
                <c:pt idx="3">
                  <c:v>0.104</c:v>
                </c:pt>
                <c:pt idx="4">
                  <c:v>0.108</c:v>
                </c:pt>
                <c:pt idx="5">
                  <c:v>0.11</c:v>
                </c:pt>
                <c:pt idx="6">
                  <c:v>0.12</c:v>
                </c:pt>
                <c:pt idx="7">
                  <c:v>0.13</c:v>
                </c:pt>
                <c:pt idx="8">
                  <c:v>0.14000000000000001</c:v>
                </c:pt>
                <c:pt idx="9">
                  <c:v>0.15000000000000002</c:v>
                </c:pt>
                <c:pt idx="10">
                  <c:v>0.16000000000000003</c:v>
                </c:pt>
                <c:pt idx="11">
                  <c:v>0.17000000000000004</c:v>
                </c:pt>
                <c:pt idx="12">
                  <c:v>0.18000000000000005</c:v>
                </c:pt>
                <c:pt idx="13">
                  <c:v>0.19000000000000006</c:v>
                </c:pt>
                <c:pt idx="14">
                  <c:v>0.20000000000000007</c:v>
                </c:pt>
                <c:pt idx="15">
                  <c:v>0.21000000000000008</c:v>
                </c:pt>
                <c:pt idx="16">
                  <c:v>0.22000000000000008</c:v>
                </c:pt>
                <c:pt idx="17">
                  <c:v>0.23000000000000009</c:v>
                </c:pt>
                <c:pt idx="18">
                  <c:v>0.2400000000000001</c:v>
                </c:pt>
                <c:pt idx="19">
                  <c:v>0.25000000000000011</c:v>
                </c:pt>
                <c:pt idx="20">
                  <c:v>0.26000000000000012</c:v>
                </c:pt>
                <c:pt idx="21">
                  <c:v>0.27000000000000013</c:v>
                </c:pt>
                <c:pt idx="22">
                  <c:v>0.28000000000000014</c:v>
                </c:pt>
                <c:pt idx="23">
                  <c:v>0.29000000000000015</c:v>
                </c:pt>
                <c:pt idx="24">
                  <c:v>0.30000000000000016</c:v>
                </c:pt>
                <c:pt idx="25">
                  <c:v>0.31000000000000016</c:v>
                </c:pt>
                <c:pt idx="26">
                  <c:v>0.32000000000000017</c:v>
                </c:pt>
                <c:pt idx="27">
                  <c:v>0.33000000000000018</c:v>
                </c:pt>
                <c:pt idx="28">
                  <c:v>0.34000000000000019</c:v>
                </c:pt>
                <c:pt idx="29">
                  <c:v>0.3500000000000002</c:v>
                </c:pt>
                <c:pt idx="30">
                  <c:v>0.36000000000000021</c:v>
                </c:pt>
                <c:pt idx="31">
                  <c:v>0.37000000000000022</c:v>
                </c:pt>
                <c:pt idx="32">
                  <c:v>0.38000000000000023</c:v>
                </c:pt>
                <c:pt idx="33">
                  <c:v>0.39000000000000024</c:v>
                </c:pt>
                <c:pt idx="34">
                  <c:v>0.40000000000000024</c:v>
                </c:pt>
                <c:pt idx="35">
                  <c:v>0.41000000000000025</c:v>
                </c:pt>
                <c:pt idx="36">
                  <c:v>0.42000000000000026</c:v>
                </c:pt>
                <c:pt idx="37">
                  <c:v>0.43000000000000027</c:v>
                </c:pt>
                <c:pt idx="38">
                  <c:v>0.44000000000000028</c:v>
                </c:pt>
                <c:pt idx="39">
                  <c:v>0.45000000000000029</c:v>
                </c:pt>
                <c:pt idx="40">
                  <c:v>0.4600000000000003</c:v>
                </c:pt>
                <c:pt idx="41">
                  <c:v>0.47000000000000031</c:v>
                </c:pt>
                <c:pt idx="42">
                  <c:v>0.48000000000000032</c:v>
                </c:pt>
                <c:pt idx="43">
                  <c:v>0.49000000000000032</c:v>
                </c:pt>
                <c:pt idx="44">
                  <c:v>0.495</c:v>
                </c:pt>
                <c:pt idx="45">
                  <c:v>0.5</c:v>
                </c:pt>
              </c:numCache>
            </c:numRef>
          </c:xVal>
          <c:yVal>
            <c:numRef>
              <c:f>vanGenuchtenSchematic!$C$17:$C$62</c:f>
              <c:numCache>
                <c:formatCode>0.00E+00</c:formatCode>
                <c:ptCount val="46"/>
                <c:pt idx="0">
                  <c:v>799999.97500008764</c:v>
                </c:pt>
                <c:pt idx="1">
                  <c:v>79999.749999609296</c:v>
                </c:pt>
                <c:pt idx="2">
                  <c:v>39999.499996875202</c:v>
                </c:pt>
                <c:pt idx="3">
                  <c:v>19998.999974998802</c:v>
                </c:pt>
                <c:pt idx="4">
                  <c:v>9997.9997999599982</c:v>
                </c:pt>
                <c:pt idx="5">
                  <c:v>7997.4996092528854</c:v>
                </c:pt>
                <c:pt idx="6">
                  <c:v>3994.9968710876378</c:v>
                </c:pt>
                <c:pt idx="7">
                  <c:v>2659.1560900238837</c:v>
                </c:pt>
                <c:pt idx="8">
                  <c:v>1989.9748742132394</c:v>
                </c:pt>
                <c:pt idx="9">
                  <c:v>1587.4507866387542</c:v>
                </c:pt>
                <c:pt idx="10">
                  <c:v>1318.2479955523454</c:v>
                </c:pt>
                <c:pt idx="11">
                  <c:v>1125.2210667151548</c:v>
                </c:pt>
                <c:pt idx="12">
                  <c:v>979.79589711327083</c:v>
                </c:pt>
                <c:pt idx="13">
                  <c:v>866.0966786624474</c:v>
                </c:pt>
                <c:pt idx="14">
                  <c:v>774.59666924148303</c:v>
                </c:pt>
                <c:pt idx="15">
                  <c:v>699.23216447379639</c:v>
                </c:pt>
                <c:pt idx="16">
                  <c:v>635.95946761129676</c:v>
                </c:pt>
                <c:pt idx="17">
                  <c:v>581.97785598085318</c:v>
                </c:pt>
                <c:pt idx="18">
                  <c:v>535.28554271986241</c:v>
                </c:pt>
                <c:pt idx="19">
                  <c:v>494.41323247304388</c:v>
                </c:pt>
                <c:pt idx="20">
                  <c:v>458.25756949558365</c:v>
                </c:pt>
                <c:pt idx="21">
                  <c:v>425.97334094662733</c:v>
                </c:pt>
                <c:pt idx="22">
                  <c:v>396.90157998870529</c:v>
                </c:pt>
                <c:pt idx="23">
                  <c:v>370.52033487995845</c:v>
                </c:pt>
                <c:pt idx="24">
                  <c:v>346.41016151377517</c:v>
                </c:pt>
                <c:pt idx="25">
                  <c:v>324.2294196295083</c:v>
                </c:pt>
                <c:pt idx="26">
                  <c:v>303.69623797254633</c:v>
                </c:pt>
                <c:pt idx="27">
                  <c:v>284.57509864267053</c:v>
                </c:pt>
                <c:pt idx="28">
                  <c:v>266.6666666666664</c:v>
                </c:pt>
                <c:pt idx="29">
                  <c:v>249.79991993593552</c:v>
                </c:pt>
                <c:pt idx="30">
                  <c:v>233.8259100549329</c:v>
                </c:pt>
                <c:pt idx="31">
                  <c:v>218.61266019812865</c:v>
                </c:pt>
                <c:pt idx="32">
                  <c:v>204.04081224408111</c:v>
                </c:pt>
                <c:pt idx="33">
                  <c:v>189.99968708904669</c:v>
                </c:pt>
                <c:pt idx="34">
                  <c:v>176.38342073763903</c:v>
                </c:pt>
                <c:pt idx="35">
                  <c:v>163.08676980341303</c:v>
                </c:pt>
                <c:pt idx="36">
                  <c:v>149.99999999999966</c:v>
                </c:pt>
                <c:pt idx="37">
                  <c:v>137.00187339948221</c:v>
                </c:pt>
                <c:pt idx="38">
                  <c:v>123.94886768062008</c:v>
                </c:pt>
                <c:pt idx="39">
                  <c:v>110.65666703449722</c:v>
                </c:pt>
                <c:pt idx="40">
                  <c:v>96.864420967570098</c:v>
                </c:pt>
                <c:pt idx="41">
                  <c:v>82.155049478759835</c:v>
                </c:pt>
                <c:pt idx="42">
                  <c:v>65.736821035772024</c:v>
                </c:pt>
                <c:pt idx="43">
                  <c:v>45.580484191361201</c:v>
                </c:pt>
                <c:pt idx="44">
                  <c:v>31.922835982072158</c:v>
                </c:pt>
                <c:pt idx="45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1FF-B541-AC85-C97987488914}"/>
            </c:ext>
          </c:extLst>
        </c:ser>
        <c:ser>
          <c:idx val="0"/>
          <c:order val="6"/>
          <c:spPr>
            <a:ln w="2540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vanGenuchtenSchematic!$D$17:$D$18</c:f>
              <c:numCache>
                <c:formatCode>0.00E+00</c:formatCode>
                <c:ptCount val="2"/>
                <c:pt idx="0">
                  <c:v>0.1</c:v>
                </c:pt>
                <c:pt idx="1">
                  <c:v>0.1</c:v>
                </c:pt>
              </c:numCache>
            </c:numRef>
          </c:xVal>
          <c:yVal>
            <c:numRef>
              <c:f>vanGenuchtenSchematic!$E$17:$E$18</c:f>
              <c:numCache>
                <c:formatCode>0.00E+00</c:formatCode>
                <c:ptCount val="2"/>
                <c:pt idx="0">
                  <c:v>1</c:v>
                </c:pt>
                <c:pt idx="1">
                  <c:v>100000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1FF-B541-AC85-C97987488914}"/>
            </c:ext>
          </c:extLst>
        </c:ser>
        <c:ser>
          <c:idx val="1"/>
          <c:order val="7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vanGenuchtenSchematic!$D$21:$D$22</c:f>
              <c:numCache>
                <c:formatCode>0.00E+00</c:formatCode>
                <c:ptCount val="2"/>
                <c:pt idx="0">
                  <c:v>0.25</c:v>
                </c:pt>
                <c:pt idx="1">
                  <c:v>0.35</c:v>
                </c:pt>
              </c:numCache>
            </c:numRef>
          </c:xVal>
          <c:yVal>
            <c:numRef>
              <c:f>vanGenuchtenSchematic!$E$21:$E$22</c:f>
              <c:numCache>
                <c:formatCode>0.00E+00</c:formatCode>
                <c:ptCount val="2"/>
                <c:pt idx="0">
                  <c:v>340</c:v>
                </c:pt>
                <c:pt idx="1">
                  <c:v>340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1FF-B541-AC85-C97987488914}"/>
            </c:ext>
          </c:extLst>
        </c:ser>
        <c:ser>
          <c:idx val="2"/>
          <c:order val="8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vanGenuchtenSchematic!$D$26:$D$27</c:f>
              <c:numCache>
                <c:formatCode>0.00E+00</c:formatCode>
                <c:ptCount val="2"/>
                <c:pt idx="0">
                  <c:v>0.08</c:v>
                </c:pt>
                <c:pt idx="1">
                  <c:v>0.12</c:v>
                </c:pt>
              </c:numCache>
            </c:numRef>
          </c:xVal>
          <c:yVal>
            <c:numRef>
              <c:f>vanGenuchtenSchematic!$E$26:$E$27</c:f>
              <c:numCache>
                <c:formatCode>0.00E+00</c:formatCode>
                <c:ptCount val="2"/>
                <c:pt idx="0">
                  <c:v>20000</c:v>
                </c:pt>
                <c:pt idx="1">
                  <c:v>20000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1FF-B541-AC85-C97987488914}"/>
            </c:ext>
          </c:extLst>
        </c:ser>
        <c:ser>
          <c:idx val="3"/>
          <c:order val="9"/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vanGenuchtenSchematic!$D$30:$D$31</c:f>
              <c:numCache>
                <c:formatCode>0.00E+00</c:formatCode>
                <c:ptCount val="2"/>
                <c:pt idx="0">
                  <c:v>0.47</c:v>
                </c:pt>
                <c:pt idx="1">
                  <c:v>0.53</c:v>
                </c:pt>
              </c:numCache>
            </c:numRef>
          </c:xVal>
          <c:yVal>
            <c:numRef>
              <c:f>vanGenuchtenSchematic!$E$30:$E$31</c:f>
              <c:numCache>
                <c:formatCode>0.00E+00</c:formatCode>
                <c:ptCount val="2"/>
                <c:pt idx="0">
                  <c:v>35</c:v>
                </c:pt>
                <c:pt idx="1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1FF-B541-AC85-C97987488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562943"/>
        <c:axId val="723706335"/>
      </c:scatterChart>
      <c:valAx>
        <c:axId val="723562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Water content 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706335"/>
        <c:crosses val="autoZero"/>
        <c:crossBetween val="midCat"/>
      </c:valAx>
      <c:valAx>
        <c:axId val="723706335"/>
        <c:scaling>
          <c:logBase val="10"/>
          <c:orientation val="minMax"/>
          <c:max val="1000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|</a:t>
                </a:r>
                <a:r>
                  <a:rPr lang="en-US" sz="1200" baseline="0">
                    <a:latin typeface="Symbol" pitchFamily="2" charset="2"/>
                  </a:rPr>
                  <a:t>Y</a:t>
                </a:r>
                <a:r>
                  <a:rPr lang="en-US" sz="1200" baseline="0"/>
                  <a:t>|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56294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Green-Ampt infiltration into silty clay for a rain event</a:t>
            </a:r>
            <a:r>
              <a:rPr lang="en-US" sz="1800" baseline="0"/>
              <a:t> of </a:t>
            </a:r>
            <a:r>
              <a:rPr lang="en-US" sz="1800"/>
              <a:t>10 mm/hr</a:t>
            </a:r>
            <a:r>
              <a:rPr lang="en-US" sz="1800" baseline="0"/>
              <a:t> 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Rainfall rate</c:v>
          </c:tx>
          <c:spPr>
            <a:ln w="381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GreenAmpt!$A$17:$A$167</c:f>
              <c:numCache>
                <c:formatCode>General</c:formatCode>
                <c:ptCount val="151"/>
                <c:pt idx="0">
                  <c:v>0</c:v>
                </c:pt>
                <c:pt idx="1">
                  <c:v>1E-3</c:v>
                </c:pt>
                <c:pt idx="2">
                  <c:v>0.02</c:v>
                </c:pt>
                <c:pt idx="3">
                  <c:v>0.04</c:v>
                </c:pt>
                <c:pt idx="4">
                  <c:v>0.06</c:v>
                </c:pt>
                <c:pt idx="5">
                  <c:v>0.08</c:v>
                </c:pt>
                <c:pt idx="6">
                  <c:v>0.1</c:v>
                </c:pt>
                <c:pt idx="7">
                  <c:v>0.12000000000000001</c:v>
                </c:pt>
                <c:pt idx="8">
                  <c:v>0.14000000000000001</c:v>
                </c:pt>
                <c:pt idx="9">
                  <c:v>0.16</c:v>
                </c:pt>
                <c:pt idx="10">
                  <c:v>0.18</c:v>
                </c:pt>
                <c:pt idx="11">
                  <c:v>0.19999999999999998</c:v>
                </c:pt>
                <c:pt idx="12">
                  <c:v>0.21999999999999997</c:v>
                </c:pt>
                <c:pt idx="13">
                  <c:v>0.23999999999999996</c:v>
                </c:pt>
                <c:pt idx="14">
                  <c:v>0.25999999999999995</c:v>
                </c:pt>
                <c:pt idx="15">
                  <c:v>0.27999999999999997</c:v>
                </c:pt>
                <c:pt idx="16">
                  <c:v>0.3</c:v>
                </c:pt>
                <c:pt idx="17">
                  <c:v>0.32</c:v>
                </c:pt>
                <c:pt idx="18">
                  <c:v>0.34</c:v>
                </c:pt>
                <c:pt idx="19">
                  <c:v>0.36000000000000004</c:v>
                </c:pt>
                <c:pt idx="20">
                  <c:v>0.38000000000000006</c:v>
                </c:pt>
                <c:pt idx="21">
                  <c:v>0.40000000000000008</c:v>
                </c:pt>
                <c:pt idx="22">
                  <c:v>0.4200000000000001</c:v>
                </c:pt>
                <c:pt idx="23">
                  <c:v>0.44000000000000011</c:v>
                </c:pt>
                <c:pt idx="24">
                  <c:v>0.46000000000000013</c:v>
                </c:pt>
                <c:pt idx="25">
                  <c:v>0.48000000000000015</c:v>
                </c:pt>
                <c:pt idx="26">
                  <c:v>0.50000000000000011</c:v>
                </c:pt>
                <c:pt idx="27">
                  <c:v>0.52000000000000013</c:v>
                </c:pt>
                <c:pt idx="28">
                  <c:v>0.54000000000000015</c:v>
                </c:pt>
                <c:pt idx="29">
                  <c:v>0.56000000000000016</c:v>
                </c:pt>
                <c:pt idx="30">
                  <c:v>0.58000000000000018</c:v>
                </c:pt>
                <c:pt idx="31">
                  <c:v>0.6000000000000002</c:v>
                </c:pt>
                <c:pt idx="32">
                  <c:v>0.62000000000000022</c:v>
                </c:pt>
                <c:pt idx="33">
                  <c:v>0.64000000000000024</c:v>
                </c:pt>
                <c:pt idx="34">
                  <c:v>0.66000000000000025</c:v>
                </c:pt>
                <c:pt idx="35">
                  <c:v>0.68000000000000027</c:v>
                </c:pt>
                <c:pt idx="36">
                  <c:v>0.70000000000000029</c:v>
                </c:pt>
                <c:pt idx="37">
                  <c:v>0.72000000000000031</c:v>
                </c:pt>
                <c:pt idx="38">
                  <c:v>0.74000000000000032</c:v>
                </c:pt>
                <c:pt idx="39">
                  <c:v>0.76000000000000034</c:v>
                </c:pt>
                <c:pt idx="40">
                  <c:v>0.78000000000000036</c:v>
                </c:pt>
                <c:pt idx="41">
                  <c:v>0.80000000000000038</c:v>
                </c:pt>
                <c:pt idx="42">
                  <c:v>0.8200000000000004</c:v>
                </c:pt>
                <c:pt idx="43">
                  <c:v>0.84000000000000041</c:v>
                </c:pt>
                <c:pt idx="44">
                  <c:v>0.86000000000000043</c:v>
                </c:pt>
                <c:pt idx="45">
                  <c:v>0.88000000000000045</c:v>
                </c:pt>
                <c:pt idx="46">
                  <c:v>0.90000000000000047</c:v>
                </c:pt>
                <c:pt idx="47">
                  <c:v>0.92000000000000048</c:v>
                </c:pt>
                <c:pt idx="48">
                  <c:v>0.9400000000000005</c:v>
                </c:pt>
                <c:pt idx="49">
                  <c:v>0.96000000000000052</c:v>
                </c:pt>
                <c:pt idx="50">
                  <c:v>0.98000000000000054</c:v>
                </c:pt>
                <c:pt idx="51">
                  <c:v>1.0000000000000004</c:v>
                </c:pt>
                <c:pt idx="52">
                  <c:v>1.0200000000000005</c:v>
                </c:pt>
                <c:pt idx="53">
                  <c:v>1.0400000000000005</c:v>
                </c:pt>
                <c:pt idx="54">
                  <c:v>1.0600000000000005</c:v>
                </c:pt>
                <c:pt idx="55">
                  <c:v>1.0800000000000005</c:v>
                </c:pt>
                <c:pt idx="56">
                  <c:v>1.1000000000000005</c:v>
                </c:pt>
                <c:pt idx="57">
                  <c:v>1.1200000000000006</c:v>
                </c:pt>
                <c:pt idx="58">
                  <c:v>1.1400000000000006</c:v>
                </c:pt>
                <c:pt idx="59">
                  <c:v>1.1600000000000006</c:v>
                </c:pt>
                <c:pt idx="60">
                  <c:v>1.1800000000000006</c:v>
                </c:pt>
                <c:pt idx="61">
                  <c:v>1.2000000000000006</c:v>
                </c:pt>
                <c:pt idx="62">
                  <c:v>1.2200000000000006</c:v>
                </c:pt>
                <c:pt idx="63">
                  <c:v>1.2400000000000007</c:v>
                </c:pt>
                <c:pt idx="64">
                  <c:v>1.2600000000000007</c:v>
                </c:pt>
                <c:pt idx="65">
                  <c:v>1.2800000000000007</c:v>
                </c:pt>
                <c:pt idx="66">
                  <c:v>1.3000000000000007</c:v>
                </c:pt>
                <c:pt idx="67">
                  <c:v>1.3200000000000007</c:v>
                </c:pt>
                <c:pt idx="68">
                  <c:v>1.3400000000000007</c:v>
                </c:pt>
                <c:pt idx="69">
                  <c:v>1.3600000000000008</c:v>
                </c:pt>
                <c:pt idx="70">
                  <c:v>1.3800000000000008</c:v>
                </c:pt>
                <c:pt idx="71">
                  <c:v>1.4000000000000008</c:v>
                </c:pt>
                <c:pt idx="72">
                  <c:v>1.4200000000000008</c:v>
                </c:pt>
                <c:pt idx="73">
                  <c:v>1.4400000000000008</c:v>
                </c:pt>
                <c:pt idx="74">
                  <c:v>1.4600000000000009</c:v>
                </c:pt>
                <c:pt idx="75">
                  <c:v>1.4800000000000009</c:v>
                </c:pt>
                <c:pt idx="76">
                  <c:v>1.5000000000000009</c:v>
                </c:pt>
                <c:pt idx="77">
                  <c:v>1.5200000000000009</c:v>
                </c:pt>
                <c:pt idx="78">
                  <c:v>1.5400000000000009</c:v>
                </c:pt>
                <c:pt idx="79">
                  <c:v>1.5600000000000009</c:v>
                </c:pt>
                <c:pt idx="80">
                  <c:v>1.580000000000001</c:v>
                </c:pt>
                <c:pt idx="81">
                  <c:v>1.600000000000001</c:v>
                </c:pt>
                <c:pt idx="82">
                  <c:v>1.620000000000001</c:v>
                </c:pt>
                <c:pt idx="83">
                  <c:v>1.640000000000001</c:v>
                </c:pt>
                <c:pt idx="84">
                  <c:v>1.660000000000001</c:v>
                </c:pt>
                <c:pt idx="85">
                  <c:v>1.680000000000001</c:v>
                </c:pt>
                <c:pt idx="86">
                  <c:v>1.7000000000000011</c:v>
                </c:pt>
                <c:pt idx="87">
                  <c:v>1.7200000000000011</c:v>
                </c:pt>
                <c:pt idx="88">
                  <c:v>1.7400000000000011</c:v>
                </c:pt>
                <c:pt idx="89">
                  <c:v>1.7600000000000011</c:v>
                </c:pt>
                <c:pt idx="90">
                  <c:v>1.7800000000000011</c:v>
                </c:pt>
                <c:pt idx="91">
                  <c:v>1.8000000000000012</c:v>
                </c:pt>
                <c:pt idx="92">
                  <c:v>1.8200000000000012</c:v>
                </c:pt>
                <c:pt idx="93">
                  <c:v>1.8400000000000012</c:v>
                </c:pt>
                <c:pt idx="94">
                  <c:v>1.8600000000000012</c:v>
                </c:pt>
                <c:pt idx="95">
                  <c:v>1.8800000000000012</c:v>
                </c:pt>
                <c:pt idx="96">
                  <c:v>1.9000000000000012</c:v>
                </c:pt>
                <c:pt idx="97">
                  <c:v>1.9200000000000013</c:v>
                </c:pt>
                <c:pt idx="98">
                  <c:v>1.9400000000000013</c:v>
                </c:pt>
                <c:pt idx="99">
                  <c:v>1.9600000000000013</c:v>
                </c:pt>
                <c:pt idx="100">
                  <c:v>1.9800000000000013</c:v>
                </c:pt>
              </c:numCache>
            </c:numRef>
          </c:xVal>
          <c:yVal>
            <c:numRef>
              <c:f>GreenAmpt!$B$17:$B$167</c:f>
              <c:numCache>
                <c:formatCode>0.00E+00</c:formatCode>
                <c:ptCount val="15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58-8246-96CA-9C6AA9E49C56}"/>
            </c:ext>
          </c:extLst>
        </c:ser>
        <c:ser>
          <c:idx val="1"/>
          <c:order val="1"/>
          <c:tx>
            <c:v>Potential infiltration rate</c:v>
          </c:tx>
          <c:spPr>
            <a:ln w="381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GreenAmpt!$A$17:$A$167</c:f>
              <c:numCache>
                <c:formatCode>General</c:formatCode>
                <c:ptCount val="151"/>
                <c:pt idx="0">
                  <c:v>0</c:v>
                </c:pt>
                <c:pt idx="1">
                  <c:v>1E-3</c:v>
                </c:pt>
                <c:pt idx="2">
                  <c:v>0.02</c:v>
                </c:pt>
                <c:pt idx="3">
                  <c:v>0.04</c:v>
                </c:pt>
                <c:pt idx="4">
                  <c:v>0.06</c:v>
                </c:pt>
                <c:pt idx="5">
                  <c:v>0.08</c:v>
                </c:pt>
                <c:pt idx="6">
                  <c:v>0.1</c:v>
                </c:pt>
                <c:pt idx="7">
                  <c:v>0.12000000000000001</c:v>
                </c:pt>
                <c:pt idx="8">
                  <c:v>0.14000000000000001</c:v>
                </c:pt>
                <c:pt idx="9">
                  <c:v>0.16</c:v>
                </c:pt>
                <c:pt idx="10">
                  <c:v>0.18</c:v>
                </c:pt>
                <c:pt idx="11">
                  <c:v>0.19999999999999998</c:v>
                </c:pt>
                <c:pt idx="12">
                  <c:v>0.21999999999999997</c:v>
                </c:pt>
                <c:pt idx="13">
                  <c:v>0.23999999999999996</c:v>
                </c:pt>
                <c:pt idx="14">
                  <c:v>0.25999999999999995</c:v>
                </c:pt>
                <c:pt idx="15">
                  <c:v>0.27999999999999997</c:v>
                </c:pt>
                <c:pt idx="16">
                  <c:v>0.3</c:v>
                </c:pt>
                <c:pt idx="17">
                  <c:v>0.32</c:v>
                </c:pt>
                <c:pt idx="18">
                  <c:v>0.34</c:v>
                </c:pt>
                <c:pt idx="19">
                  <c:v>0.36000000000000004</c:v>
                </c:pt>
                <c:pt idx="20">
                  <c:v>0.38000000000000006</c:v>
                </c:pt>
                <c:pt idx="21">
                  <c:v>0.40000000000000008</c:v>
                </c:pt>
                <c:pt idx="22">
                  <c:v>0.4200000000000001</c:v>
                </c:pt>
                <c:pt idx="23">
                  <c:v>0.44000000000000011</c:v>
                </c:pt>
                <c:pt idx="24">
                  <c:v>0.46000000000000013</c:v>
                </c:pt>
                <c:pt idx="25">
                  <c:v>0.48000000000000015</c:v>
                </c:pt>
                <c:pt idx="26">
                  <c:v>0.50000000000000011</c:v>
                </c:pt>
                <c:pt idx="27">
                  <c:v>0.52000000000000013</c:v>
                </c:pt>
                <c:pt idx="28">
                  <c:v>0.54000000000000015</c:v>
                </c:pt>
                <c:pt idx="29">
                  <c:v>0.56000000000000016</c:v>
                </c:pt>
                <c:pt idx="30">
                  <c:v>0.58000000000000018</c:v>
                </c:pt>
                <c:pt idx="31">
                  <c:v>0.6000000000000002</c:v>
                </c:pt>
                <c:pt idx="32">
                  <c:v>0.62000000000000022</c:v>
                </c:pt>
                <c:pt idx="33">
                  <c:v>0.64000000000000024</c:v>
                </c:pt>
                <c:pt idx="34">
                  <c:v>0.66000000000000025</c:v>
                </c:pt>
                <c:pt idx="35">
                  <c:v>0.68000000000000027</c:v>
                </c:pt>
                <c:pt idx="36">
                  <c:v>0.70000000000000029</c:v>
                </c:pt>
                <c:pt idx="37">
                  <c:v>0.72000000000000031</c:v>
                </c:pt>
                <c:pt idx="38">
                  <c:v>0.74000000000000032</c:v>
                </c:pt>
                <c:pt idx="39">
                  <c:v>0.76000000000000034</c:v>
                </c:pt>
                <c:pt idx="40">
                  <c:v>0.78000000000000036</c:v>
                </c:pt>
                <c:pt idx="41">
                  <c:v>0.80000000000000038</c:v>
                </c:pt>
                <c:pt idx="42">
                  <c:v>0.8200000000000004</c:v>
                </c:pt>
                <c:pt idx="43">
                  <c:v>0.84000000000000041</c:v>
                </c:pt>
                <c:pt idx="44">
                  <c:v>0.86000000000000043</c:v>
                </c:pt>
                <c:pt idx="45">
                  <c:v>0.88000000000000045</c:v>
                </c:pt>
                <c:pt idx="46">
                  <c:v>0.90000000000000047</c:v>
                </c:pt>
                <c:pt idx="47">
                  <c:v>0.92000000000000048</c:v>
                </c:pt>
                <c:pt idx="48">
                  <c:v>0.9400000000000005</c:v>
                </c:pt>
                <c:pt idx="49">
                  <c:v>0.96000000000000052</c:v>
                </c:pt>
                <c:pt idx="50">
                  <c:v>0.98000000000000054</c:v>
                </c:pt>
                <c:pt idx="51">
                  <c:v>1.0000000000000004</c:v>
                </c:pt>
                <c:pt idx="52">
                  <c:v>1.0200000000000005</c:v>
                </c:pt>
                <c:pt idx="53">
                  <c:v>1.0400000000000005</c:v>
                </c:pt>
                <c:pt idx="54">
                  <c:v>1.0600000000000005</c:v>
                </c:pt>
                <c:pt idx="55">
                  <c:v>1.0800000000000005</c:v>
                </c:pt>
                <c:pt idx="56">
                  <c:v>1.1000000000000005</c:v>
                </c:pt>
                <c:pt idx="57">
                  <c:v>1.1200000000000006</c:v>
                </c:pt>
                <c:pt idx="58">
                  <c:v>1.1400000000000006</c:v>
                </c:pt>
                <c:pt idx="59">
                  <c:v>1.1600000000000006</c:v>
                </c:pt>
                <c:pt idx="60">
                  <c:v>1.1800000000000006</c:v>
                </c:pt>
                <c:pt idx="61">
                  <c:v>1.2000000000000006</c:v>
                </c:pt>
                <c:pt idx="62">
                  <c:v>1.2200000000000006</c:v>
                </c:pt>
                <c:pt idx="63">
                  <c:v>1.2400000000000007</c:v>
                </c:pt>
                <c:pt idx="64">
                  <c:v>1.2600000000000007</c:v>
                </c:pt>
                <c:pt idx="65">
                  <c:v>1.2800000000000007</c:v>
                </c:pt>
                <c:pt idx="66">
                  <c:v>1.3000000000000007</c:v>
                </c:pt>
                <c:pt idx="67">
                  <c:v>1.3200000000000007</c:v>
                </c:pt>
                <c:pt idx="68">
                  <c:v>1.3400000000000007</c:v>
                </c:pt>
                <c:pt idx="69">
                  <c:v>1.3600000000000008</c:v>
                </c:pt>
                <c:pt idx="70">
                  <c:v>1.3800000000000008</c:v>
                </c:pt>
                <c:pt idx="71">
                  <c:v>1.4000000000000008</c:v>
                </c:pt>
                <c:pt idx="72">
                  <c:v>1.4200000000000008</c:v>
                </c:pt>
                <c:pt idx="73">
                  <c:v>1.4400000000000008</c:v>
                </c:pt>
                <c:pt idx="74">
                  <c:v>1.4600000000000009</c:v>
                </c:pt>
                <c:pt idx="75">
                  <c:v>1.4800000000000009</c:v>
                </c:pt>
                <c:pt idx="76">
                  <c:v>1.5000000000000009</c:v>
                </c:pt>
                <c:pt idx="77">
                  <c:v>1.5200000000000009</c:v>
                </c:pt>
                <c:pt idx="78">
                  <c:v>1.5400000000000009</c:v>
                </c:pt>
                <c:pt idx="79">
                  <c:v>1.5600000000000009</c:v>
                </c:pt>
                <c:pt idx="80">
                  <c:v>1.580000000000001</c:v>
                </c:pt>
                <c:pt idx="81">
                  <c:v>1.600000000000001</c:v>
                </c:pt>
                <c:pt idx="82">
                  <c:v>1.620000000000001</c:v>
                </c:pt>
                <c:pt idx="83">
                  <c:v>1.640000000000001</c:v>
                </c:pt>
                <c:pt idx="84">
                  <c:v>1.660000000000001</c:v>
                </c:pt>
                <c:pt idx="85">
                  <c:v>1.680000000000001</c:v>
                </c:pt>
                <c:pt idx="86">
                  <c:v>1.7000000000000011</c:v>
                </c:pt>
                <c:pt idx="87">
                  <c:v>1.7200000000000011</c:v>
                </c:pt>
                <c:pt idx="88">
                  <c:v>1.7400000000000011</c:v>
                </c:pt>
                <c:pt idx="89">
                  <c:v>1.7600000000000011</c:v>
                </c:pt>
                <c:pt idx="90">
                  <c:v>1.7800000000000011</c:v>
                </c:pt>
                <c:pt idx="91">
                  <c:v>1.8000000000000012</c:v>
                </c:pt>
                <c:pt idx="92">
                  <c:v>1.8200000000000012</c:v>
                </c:pt>
                <c:pt idx="93">
                  <c:v>1.8400000000000012</c:v>
                </c:pt>
                <c:pt idx="94">
                  <c:v>1.8600000000000012</c:v>
                </c:pt>
                <c:pt idx="95">
                  <c:v>1.8800000000000012</c:v>
                </c:pt>
                <c:pt idx="96">
                  <c:v>1.9000000000000012</c:v>
                </c:pt>
                <c:pt idx="97">
                  <c:v>1.9200000000000013</c:v>
                </c:pt>
                <c:pt idx="98">
                  <c:v>1.9400000000000013</c:v>
                </c:pt>
                <c:pt idx="99">
                  <c:v>1.9600000000000013</c:v>
                </c:pt>
                <c:pt idx="100">
                  <c:v>1.9800000000000013</c:v>
                </c:pt>
              </c:numCache>
            </c:numRef>
          </c:xVal>
          <c:yVal>
            <c:numRef>
              <c:f>GreenAmpt!$E$17:$E$167</c:f>
              <c:numCache>
                <c:formatCode>0.00E+00</c:formatCode>
                <c:ptCount val="151"/>
                <c:pt idx="0">
                  <c:v>1000</c:v>
                </c:pt>
                <c:pt idx="1">
                  <c:v>3180.6</c:v>
                </c:pt>
                <c:pt idx="2">
                  <c:v>162.56399999999999</c:v>
                </c:pt>
                <c:pt idx="3">
                  <c:v>83.141999999999996</c:v>
                </c:pt>
                <c:pt idx="4">
                  <c:v>56.667999999999999</c:v>
                </c:pt>
                <c:pt idx="5">
                  <c:v>43.430999999999997</c:v>
                </c:pt>
                <c:pt idx="6">
                  <c:v>35.488800000000005</c:v>
                </c:pt>
                <c:pt idx="7">
                  <c:v>30.194000000000003</c:v>
                </c:pt>
                <c:pt idx="8">
                  <c:v>26.412000000000003</c:v>
                </c:pt>
                <c:pt idx="9">
                  <c:v>23.575500000000002</c:v>
                </c:pt>
                <c:pt idx="10">
                  <c:v>21.369333333333334</c:v>
                </c:pt>
                <c:pt idx="11">
                  <c:v>19.604400000000002</c:v>
                </c:pt>
                <c:pt idx="12">
                  <c:v>18.160363636363638</c:v>
                </c:pt>
                <c:pt idx="13">
                  <c:v>16.957000000000001</c:v>
                </c:pt>
                <c:pt idx="14">
                  <c:v>15.938769230769234</c:v>
                </c:pt>
                <c:pt idx="15">
                  <c:v>15.066000000000004</c:v>
                </c:pt>
                <c:pt idx="16">
                  <c:v>14.309600000000003</c:v>
                </c:pt>
                <c:pt idx="17">
                  <c:v>13.647750000000002</c:v>
                </c:pt>
                <c:pt idx="18">
                  <c:v>13.063764705882354</c:v>
                </c:pt>
                <c:pt idx="19">
                  <c:v>12.544666666666668</c:v>
                </c:pt>
                <c:pt idx="20">
                  <c:v>12.080210526315788</c:v>
                </c:pt>
                <c:pt idx="21">
                  <c:v>11.662200000000002</c:v>
                </c:pt>
                <c:pt idx="22">
                  <c:v>11.284000000000001</c:v>
                </c:pt>
                <c:pt idx="23">
                  <c:v>10.940181818181816</c:v>
                </c:pt>
                <c:pt idx="24">
                  <c:v>10.626260869565217</c:v>
                </c:pt>
                <c:pt idx="25">
                  <c:v>10.3385</c:v>
                </c:pt>
                <c:pt idx="26">
                  <c:v>10.073760000000002</c:v>
                </c:pt>
                <c:pt idx="27">
                  <c:v>9.8293846153846154</c:v>
                </c:pt>
                <c:pt idx="28">
                  <c:v>9.6068310516445994</c:v>
                </c:pt>
                <c:pt idx="29">
                  <c:v>9.4044457194222613</c:v>
                </c:pt>
                <c:pt idx="30">
                  <c:v>9.2193642251592927</c:v>
                </c:pt>
                <c:pt idx="31">
                  <c:v>9.0492621066530656</c:v>
                </c:pt>
                <c:pt idx="32">
                  <c:v>8.8922304193457151</c:v>
                </c:pt>
                <c:pt idx="33">
                  <c:v>8.7466847113952149</c:v>
                </c:pt>
                <c:pt idx="34">
                  <c:v>8.6112972760577904</c:v>
                </c:pt>
                <c:pt idx="35">
                  <c:v>8.4849459499551791</c:v>
                </c:pt>
                <c:pt idx="36">
                  <c:v>8.3666748787002856</c:v>
                </c:pt>
                <c:pt idx="37">
                  <c:v>8.255664075070646</c:v>
                </c:pt>
                <c:pt idx="38">
                  <c:v>8.1512055296069637</c:v>
                </c:pt>
                <c:pt idx="39">
                  <c:v>8.0526842678414337</c:v>
                </c:pt>
                <c:pt idx="40">
                  <c:v>7.9595631863547318</c:v>
                </c:pt>
                <c:pt idx="41">
                  <c:v>7.8713708071020934</c:v>
                </c:pt>
                <c:pt idx="42">
                  <c:v>7.7876913081129686</c:v>
                </c:pt>
                <c:pt idx="43">
                  <c:v>7.7081563463800942</c:v>
                </c:pt>
                <c:pt idx="44">
                  <c:v>7.6324383039108801</c:v>
                </c:pt>
                <c:pt idx="45">
                  <c:v>7.5602446729633952</c:v>
                </c:pt>
                <c:pt idx="46">
                  <c:v>7.4913133599713886</c:v>
                </c:pt>
                <c:pt idx="47">
                  <c:v>7.4254087355167222</c:v>
                </c:pt>
                <c:pt idx="48">
                  <c:v>7.3623182941148295</c:v>
                </c:pt>
                <c:pt idx="49">
                  <c:v>7.3018498155175449</c:v>
                </c:pt>
                <c:pt idx="50">
                  <c:v>7.2438289408517598</c:v>
                </c:pt>
                <c:pt idx="51">
                  <c:v>7.1880970937615949</c:v>
                </c:pt>
                <c:pt idx="52">
                  <c:v>7.1345096899508595</c:v>
                </c:pt>
                <c:pt idx="53">
                  <c:v>7.0829345889798851</c:v>
                </c:pt>
                <c:pt idx="54">
                  <c:v>7.0332507504901871</c:v>
                </c:pt>
                <c:pt idx="55">
                  <c:v>6.9853470636888924</c:v>
                </c:pt>
                <c:pt idx="56">
                  <c:v>6.9391213242850256</c:v>
                </c:pt>
                <c:pt idx="57">
                  <c:v>6.8944793374079438</c:v>
                </c:pt>
                <c:pt idx="58">
                  <c:v>6.8513341285678591</c:v>
                </c:pt>
                <c:pt idx="59">
                  <c:v>6.809605247604102</c:v>
                </c:pt>
                <c:pt idx="60">
                  <c:v>6.7692181529373192</c:v>
                </c:pt>
                <c:pt idx="61">
                  <c:v>6.7301036653978255</c:v>
                </c:pt>
                <c:pt idx="62">
                  <c:v>6.69219748252321</c:v>
                </c:pt>
                <c:pt idx="63">
                  <c:v>6.6554397455670449</c:v>
                </c:pt>
                <c:pt idx="64">
                  <c:v>6.6197746525871732</c:v>
                </c:pt>
                <c:pt idx="65">
                  <c:v>6.585150111926767</c:v>
                </c:pt>
                <c:pt idx="66">
                  <c:v>6.5515174311962605</c:v>
                </c:pt>
                <c:pt idx="67">
                  <c:v>6.5188310375355849</c:v>
                </c:pt>
                <c:pt idx="68">
                  <c:v>6.4870482255048287</c:v>
                </c:pt>
                <c:pt idx="69">
                  <c:v>6.4561289294348558</c:v>
                </c:pt>
                <c:pt idx="70">
                  <c:v>6.4260355174814734</c:v>
                </c:pt>
                <c:pt idx="71">
                  <c:v>6.3967326049791708</c:v>
                </c:pt>
                <c:pt idx="72">
                  <c:v>6.3681868849925811</c:v>
                </c:pt>
                <c:pt idx="73">
                  <c:v>6.3403669742236293</c:v>
                </c:pt>
                <c:pt idx="74">
                  <c:v>6.3132432726563907</c:v>
                </c:pt>
                <c:pt idx="75">
                  <c:v>6.2867878355152023</c:v>
                </c:pt>
                <c:pt idx="76">
                  <c:v>6.2609742562794359</c:v>
                </c:pt>
                <c:pt idx="77">
                  <c:v>6.235777559643978</c:v>
                </c:pt>
                <c:pt idx="78">
                  <c:v>6.2111741034413477</c:v>
                </c:pt>
                <c:pt idx="79">
                  <c:v>6.1871414886520606</c:v>
                </c:pt>
                <c:pt idx="80">
                  <c:v>6.1636584767266172</c:v>
                </c:pt>
                <c:pt idx="81">
                  <c:v>6.1407049135272853</c:v>
                </c:pt>
                <c:pt idx="82">
                  <c:v>6.1182616592723225</c:v>
                </c:pt>
                <c:pt idx="83">
                  <c:v>6.0963105239307644</c:v>
                </c:pt>
                <c:pt idx="84">
                  <c:v>6.074834207573633</c:v>
                </c:pt>
                <c:pt idx="85">
                  <c:v>6.0538162452384334</c:v>
                </c:pt>
                <c:pt idx="86">
                  <c:v>6.0332409559088616</c:v>
                </c:pt>
                <c:pt idx="87">
                  <c:v>6.0130933952516541</c:v>
                </c:pt>
                <c:pt idx="88">
                  <c:v>5.9933593117879607</c:v>
                </c:pt>
                <c:pt idx="89">
                  <c:v>5.9740251062081802</c:v>
                </c:pt>
                <c:pt idx="90">
                  <c:v>5.9550777935672903</c:v>
                </c:pt>
                <c:pt idx="91">
                  <c:v>5.9365049681227884</c:v>
                </c:pt>
                <c:pt idx="92">
                  <c:v>5.9182947705996698</c:v>
                </c:pt>
                <c:pt idx="93">
                  <c:v>5.9004358576870244</c:v>
                </c:pt>
                <c:pt idx="94">
                  <c:v>5.8829173735886435</c:v>
                </c:pt>
                <c:pt idx="95">
                  <c:v>5.865728923466234</c:v>
                </c:pt>
                <c:pt idx="96">
                  <c:v>5.8488605486282488</c:v>
                </c:pt>
                <c:pt idx="97">
                  <c:v>5.8323027033303614</c:v>
                </c:pt>
                <c:pt idx="98">
                  <c:v>5.8160462330653564</c:v>
                </c:pt>
                <c:pt idx="99">
                  <c:v>5.8000823542307627</c:v>
                </c:pt>
                <c:pt idx="100">
                  <c:v>5.7844026350721132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58-8246-96CA-9C6AA9E49C56}"/>
            </c:ext>
          </c:extLst>
        </c:ser>
        <c:ser>
          <c:idx val="2"/>
          <c:order val="2"/>
          <c:tx>
            <c:v>Actual infiltration rate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GreenAmpt!$A$17:$A$167</c:f>
              <c:numCache>
                <c:formatCode>General</c:formatCode>
                <c:ptCount val="151"/>
                <c:pt idx="0">
                  <c:v>0</c:v>
                </c:pt>
                <c:pt idx="1">
                  <c:v>1E-3</c:v>
                </c:pt>
                <c:pt idx="2">
                  <c:v>0.02</c:v>
                </c:pt>
                <c:pt idx="3">
                  <c:v>0.04</c:v>
                </c:pt>
                <c:pt idx="4">
                  <c:v>0.06</c:v>
                </c:pt>
                <c:pt idx="5">
                  <c:v>0.08</c:v>
                </c:pt>
                <c:pt idx="6">
                  <c:v>0.1</c:v>
                </c:pt>
                <c:pt idx="7">
                  <c:v>0.12000000000000001</c:v>
                </c:pt>
                <c:pt idx="8">
                  <c:v>0.14000000000000001</c:v>
                </c:pt>
                <c:pt idx="9">
                  <c:v>0.16</c:v>
                </c:pt>
                <c:pt idx="10">
                  <c:v>0.18</c:v>
                </c:pt>
                <c:pt idx="11">
                  <c:v>0.19999999999999998</c:v>
                </c:pt>
                <c:pt idx="12">
                  <c:v>0.21999999999999997</c:v>
                </c:pt>
                <c:pt idx="13">
                  <c:v>0.23999999999999996</c:v>
                </c:pt>
                <c:pt idx="14">
                  <c:v>0.25999999999999995</c:v>
                </c:pt>
                <c:pt idx="15">
                  <c:v>0.27999999999999997</c:v>
                </c:pt>
                <c:pt idx="16">
                  <c:v>0.3</c:v>
                </c:pt>
                <c:pt idx="17">
                  <c:v>0.32</c:v>
                </c:pt>
                <c:pt idx="18">
                  <c:v>0.34</c:v>
                </c:pt>
                <c:pt idx="19">
                  <c:v>0.36000000000000004</c:v>
                </c:pt>
                <c:pt idx="20">
                  <c:v>0.38000000000000006</c:v>
                </c:pt>
                <c:pt idx="21">
                  <c:v>0.40000000000000008</c:v>
                </c:pt>
                <c:pt idx="22">
                  <c:v>0.4200000000000001</c:v>
                </c:pt>
                <c:pt idx="23">
                  <c:v>0.44000000000000011</c:v>
                </c:pt>
                <c:pt idx="24">
                  <c:v>0.46000000000000013</c:v>
                </c:pt>
                <c:pt idx="25">
                  <c:v>0.48000000000000015</c:v>
                </c:pt>
                <c:pt idx="26">
                  <c:v>0.50000000000000011</c:v>
                </c:pt>
                <c:pt idx="27">
                  <c:v>0.52000000000000013</c:v>
                </c:pt>
                <c:pt idx="28">
                  <c:v>0.54000000000000015</c:v>
                </c:pt>
                <c:pt idx="29">
                  <c:v>0.56000000000000016</c:v>
                </c:pt>
                <c:pt idx="30">
                  <c:v>0.58000000000000018</c:v>
                </c:pt>
                <c:pt idx="31">
                  <c:v>0.6000000000000002</c:v>
                </c:pt>
                <c:pt idx="32">
                  <c:v>0.62000000000000022</c:v>
                </c:pt>
                <c:pt idx="33">
                  <c:v>0.64000000000000024</c:v>
                </c:pt>
                <c:pt idx="34">
                  <c:v>0.66000000000000025</c:v>
                </c:pt>
                <c:pt idx="35">
                  <c:v>0.68000000000000027</c:v>
                </c:pt>
                <c:pt idx="36">
                  <c:v>0.70000000000000029</c:v>
                </c:pt>
                <c:pt idx="37">
                  <c:v>0.72000000000000031</c:v>
                </c:pt>
                <c:pt idx="38">
                  <c:v>0.74000000000000032</c:v>
                </c:pt>
                <c:pt idx="39">
                  <c:v>0.76000000000000034</c:v>
                </c:pt>
                <c:pt idx="40">
                  <c:v>0.78000000000000036</c:v>
                </c:pt>
                <c:pt idx="41">
                  <c:v>0.80000000000000038</c:v>
                </c:pt>
                <c:pt idx="42">
                  <c:v>0.8200000000000004</c:v>
                </c:pt>
                <c:pt idx="43">
                  <c:v>0.84000000000000041</c:v>
                </c:pt>
                <c:pt idx="44">
                  <c:v>0.86000000000000043</c:v>
                </c:pt>
                <c:pt idx="45">
                  <c:v>0.88000000000000045</c:v>
                </c:pt>
                <c:pt idx="46">
                  <c:v>0.90000000000000047</c:v>
                </c:pt>
                <c:pt idx="47">
                  <c:v>0.92000000000000048</c:v>
                </c:pt>
                <c:pt idx="48">
                  <c:v>0.9400000000000005</c:v>
                </c:pt>
                <c:pt idx="49">
                  <c:v>0.96000000000000052</c:v>
                </c:pt>
                <c:pt idx="50">
                  <c:v>0.98000000000000054</c:v>
                </c:pt>
                <c:pt idx="51">
                  <c:v>1.0000000000000004</c:v>
                </c:pt>
                <c:pt idx="52">
                  <c:v>1.0200000000000005</c:v>
                </c:pt>
                <c:pt idx="53">
                  <c:v>1.0400000000000005</c:v>
                </c:pt>
                <c:pt idx="54">
                  <c:v>1.0600000000000005</c:v>
                </c:pt>
                <c:pt idx="55">
                  <c:v>1.0800000000000005</c:v>
                </c:pt>
                <c:pt idx="56">
                  <c:v>1.1000000000000005</c:v>
                </c:pt>
                <c:pt idx="57">
                  <c:v>1.1200000000000006</c:v>
                </c:pt>
                <c:pt idx="58">
                  <c:v>1.1400000000000006</c:v>
                </c:pt>
                <c:pt idx="59">
                  <c:v>1.1600000000000006</c:v>
                </c:pt>
                <c:pt idx="60">
                  <c:v>1.1800000000000006</c:v>
                </c:pt>
                <c:pt idx="61">
                  <c:v>1.2000000000000006</c:v>
                </c:pt>
                <c:pt idx="62">
                  <c:v>1.2200000000000006</c:v>
                </c:pt>
                <c:pt idx="63">
                  <c:v>1.2400000000000007</c:v>
                </c:pt>
                <c:pt idx="64">
                  <c:v>1.2600000000000007</c:v>
                </c:pt>
                <c:pt idx="65">
                  <c:v>1.2800000000000007</c:v>
                </c:pt>
                <c:pt idx="66">
                  <c:v>1.3000000000000007</c:v>
                </c:pt>
                <c:pt idx="67">
                  <c:v>1.3200000000000007</c:v>
                </c:pt>
                <c:pt idx="68">
                  <c:v>1.3400000000000007</c:v>
                </c:pt>
                <c:pt idx="69">
                  <c:v>1.3600000000000008</c:v>
                </c:pt>
                <c:pt idx="70">
                  <c:v>1.3800000000000008</c:v>
                </c:pt>
                <c:pt idx="71">
                  <c:v>1.4000000000000008</c:v>
                </c:pt>
                <c:pt idx="72">
                  <c:v>1.4200000000000008</c:v>
                </c:pt>
                <c:pt idx="73">
                  <c:v>1.4400000000000008</c:v>
                </c:pt>
                <c:pt idx="74">
                  <c:v>1.4600000000000009</c:v>
                </c:pt>
                <c:pt idx="75">
                  <c:v>1.4800000000000009</c:v>
                </c:pt>
                <c:pt idx="76">
                  <c:v>1.5000000000000009</c:v>
                </c:pt>
                <c:pt idx="77">
                  <c:v>1.5200000000000009</c:v>
                </c:pt>
                <c:pt idx="78">
                  <c:v>1.5400000000000009</c:v>
                </c:pt>
                <c:pt idx="79">
                  <c:v>1.5600000000000009</c:v>
                </c:pt>
                <c:pt idx="80">
                  <c:v>1.580000000000001</c:v>
                </c:pt>
                <c:pt idx="81">
                  <c:v>1.600000000000001</c:v>
                </c:pt>
                <c:pt idx="82">
                  <c:v>1.620000000000001</c:v>
                </c:pt>
                <c:pt idx="83">
                  <c:v>1.640000000000001</c:v>
                </c:pt>
                <c:pt idx="84">
                  <c:v>1.660000000000001</c:v>
                </c:pt>
                <c:pt idx="85">
                  <c:v>1.680000000000001</c:v>
                </c:pt>
                <c:pt idx="86">
                  <c:v>1.7000000000000011</c:v>
                </c:pt>
                <c:pt idx="87">
                  <c:v>1.7200000000000011</c:v>
                </c:pt>
                <c:pt idx="88">
                  <c:v>1.7400000000000011</c:v>
                </c:pt>
                <c:pt idx="89">
                  <c:v>1.7600000000000011</c:v>
                </c:pt>
                <c:pt idx="90">
                  <c:v>1.7800000000000011</c:v>
                </c:pt>
                <c:pt idx="91">
                  <c:v>1.8000000000000012</c:v>
                </c:pt>
                <c:pt idx="92">
                  <c:v>1.8200000000000012</c:v>
                </c:pt>
                <c:pt idx="93">
                  <c:v>1.8400000000000012</c:v>
                </c:pt>
                <c:pt idx="94">
                  <c:v>1.8600000000000012</c:v>
                </c:pt>
                <c:pt idx="95">
                  <c:v>1.8800000000000012</c:v>
                </c:pt>
                <c:pt idx="96">
                  <c:v>1.9000000000000012</c:v>
                </c:pt>
                <c:pt idx="97">
                  <c:v>1.9200000000000013</c:v>
                </c:pt>
                <c:pt idx="98">
                  <c:v>1.9400000000000013</c:v>
                </c:pt>
                <c:pt idx="99">
                  <c:v>1.9600000000000013</c:v>
                </c:pt>
                <c:pt idx="100">
                  <c:v>1.9800000000000013</c:v>
                </c:pt>
              </c:numCache>
            </c:numRef>
          </c:xVal>
          <c:yVal>
            <c:numRef>
              <c:f>GreenAmpt!$F$17:$F$167</c:f>
              <c:numCache>
                <c:formatCode>0.00E+00</c:formatCode>
                <c:ptCount val="15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9.8293846153846154</c:v>
                </c:pt>
                <c:pt idx="28">
                  <c:v>9.6068310516445994</c:v>
                </c:pt>
                <c:pt idx="29">
                  <c:v>9.4044457194222613</c:v>
                </c:pt>
                <c:pt idx="30">
                  <c:v>9.2193642251592927</c:v>
                </c:pt>
                <c:pt idx="31">
                  <c:v>9.0492621066530656</c:v>
                </c:pt>
                <c:pt idx="32">
                  <c:v>8.8922304193457151</c:v>
                </c:pt>
                <c:pt idx="33">
                  <c:v>8.7466847113952149</c:v>
                </c:pt>
                <c:pt idx="34">
                  <c:v>8.6112972760577904</c:v>
                </c:pt>
                <c:pt idx="35">
                  <c:v>8.4849459499551791</c:v>
                </c:pt>
                <c:pt idx="36">
                  <c:v>8.3666748787002856</c:v>
                </c:pt>
                <c:pt idx="37">
                  <c:v>8.255664075070646</c:v>
                </c:pt>
                <c:pt idx="38">
                  <c:v>8.1512055296069637</c:v>
                </c:pt>
                <c:pt idx="39">
                  <c:v>8.0526842678414337</c:v>
                </c:pt>
                <c:pt idx="40">
                  <c:v>7.9595631863547318</c:v>
                </c:pt>
                <c:pt idx="41">
                  <c:v>7.8713708071020934</c:v>
                </c:pt>
                <c:pt idx="42">
                  <c:v>7.7876913081129686</c:v>
                </c:pt>
                <c:pt idx="43">
                  <c:v>7.7081563463800942</c:v>
                </c:pt>
                <c:pt idx="44">
                  <c:v>7.6324383039108801</c:v>
                </c:pt>
                <c:pt idx="45">
                  <c:v>7.5602446729633952</c:v>
                </c:pt>
                <c:pt idx="46">
                  <c:v>7.4913133599713886</c:v>
                </c:pt>
                <c:pt idx="47">
                  <c:v>7.4254087355167222</c:v>
                </c:pt>
                <c:pt idx="48">
                  <c:v>7.3623182941148295</c:v>
                </c:pt>
                <c:pt idx="49">
                  <c:v>7.3018498155175449</c:v>
                </c:pt>
                <c:pt idx="50">
                  <c:v>7.2438289408517598</c:v>
                </c:pt>
                <c:pt idx="51">
                  <c:v>7.1880970937615949</c:v>
                </c:pt>
                <c:pt idx="52">
                  <c:v>7.1345096899508595</c:v>
                </c:pt>
                <c:pt idx="53">
                  <c:v>7.0829345889798851</c:v>
                </c:pt>
                <c:pt idx="54">
                  <c:v>7.0332507504901871</c:v>
                </c:pt>
                <c:pt idx="55">
                  <c:v>6.9853470636888924</c:v>
                </c:pt>
                <c:pt idx="56">
                  <c:v>6.9391213242850256</c:v>
                </c:pt>
                <c:pt idx="57">
                  <c:v>6.8944793374079438</c:v>
                </c:pt>
                <c:pt idx="58">
                  <c:v>6.8513341285678591</c:v>
                </c:pt>
                <c:pt idx="59">
                  <c:v>6.809605247604102</c:v>
                </c:pt>
                <c:pt idx="60">
                  <c:v>6.7692181529373192</c:v>
                </c:pt>
                <c:pt idx="61">
                  <c:v>6.7301036653978255</c:v>
                </c:pt>
                <c:pt idx="62">
                  <c:v>6.69219748252321</c:v>
                </c:pt>
                <c:pt idx="63">
                  <c:v>6.6554397455670449</c:v>
                </c:pt>
                <c:pt idx="64">
                  <c:v>6.6197746525871732</c:v>
                </c:pt>
                <c:pt idx="65">
                  <c:v>6.585150111926767</c:v>
                </c:pt>
                <c:pt idx="66">
                  <c:v>6.5515174311962605</c:v>
                </c:pt>
                <c:pt idx="67">
                  <c:v>6.5188310375355849</c:v>
                </c:pt>
                <c:pt idx="68">
                  <c:v>6.4870482255048287</c:v>
                </c:pt>
                <c:pt idx="69">
                  <c:v>6.4561289294348558</c:v>
                </c:pt>
                <c:pt idx="70">
                  <c:v>6.4260355174814734</c:v>
                </c:pt>
                <c:pt idx="71">
                  <c:v>6.3967326049791708</c:v>
                </c:pt>
                <c:pt idx="72">
                  <c:v>6.3681868849925811</c:v>
                </c:pt>
                <c:pt idx="73">
                  <c:v>6.3403669742236293</c:v>
                </c:pt>
                <c:pt idx="74">
                  <c:v>6.3132432726563907</c:v>
                </c:pt>
                <c:pt idx="75">
                  <c:v>6.2867878355152023</c:v>
                </c:pt>
                <c:pt idx="76">
                  <c:v>6.2609742562794359</c:v>
                </c:pt>
                <c:pt idx="77">
                  <c:v>6.235777559643978</c:v>
                </c:pt>
                <c:pt idx="78">
                  <c:v>6.2111741034413477</c:v>
                </c:pt>
                <c:pt idx="79">
                  <c:v>6.1871414886520606</c:v>
                </c:pt>
                <c:pt idx="80">
                  <c:v>6.1636584767266172</c:v>
                </c:pt>
                <c:pt idx="81">
                  <c:v>6.1407049135272853</c:v>
                </c:pt>
                <c:pt idx="82">
                  <c:v>6.1182616592723225</c:v>
                </c:pt>
                <c:pt idx="83">
                  <c:v>6.0963105239307644</c:v>
                </c:pt>
                <c:pt idx="84">
                  <c:v>6.074834207573633</c:v>
                </c:pt>
                <c:pt idx="85">
                  <c:v>6.0538162452384334</c:v>
                </c:pt>
                <c:pt idx="86">
                  <c:v>6.0332409559088616</c:v>
                </c:pt>
                <c:pt idx="87">
                  <c:v>6.0130933952516541</c:v>
                </c:pt>
                <c:pt idx="88">
                  <c:v>5.9933593117879607</c:v>
                </c:pt>
                <c:pt idx="89">
                  <c:v>5.9740251062081802</c:v>
                </c:pt>
                <c:pt idx="90">
                  <c:v>5.9550777935672903</c:v>
                </c:pt>
                <c:pt idx="91">
                  <c:v>5.9365049681227884</c:v>
                </c:pt>
                <c:pt idx="92">
                  <c:v>5.9182947705996698</c:v>
                </c:pt>
                <c:pt idx="93">
                  <c:v>5.9004358576870244</c:v>
                </c:pt>
                <c:pt idx="94">
                  <c:v>5.8829173735886435</c:v>
                </c:pt>
                <c:pt idx="95">
                  <c:v>5.865728923466234</c:v>
                </c:pt>
                <c:pt idx="96">
                  <c:v>5.8488605486282488</c:v>
                </c:pt>
                <c:pt idx="97">
                  <c:v>5.8323027033303614</c:v>
                </c:pt>
                <c:pt idx="98">
                  <c:v>5.8160462330653564</c:v>
                </c:pt>
                <c:pt idx="99">
                  <c:v>5.8000823542307627</c:v>
                </c:pt>
                <c:pt idx="100">
                  <c:v>5.7844026350721132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58-8246-96CA-9C6AA9E49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1612496"/>
        <c:axId val="730641520"/>
      </c:scatterChart>
      <c:scatterChart>
        <c:scatterStyle val="lineMarker"/>
        <c:varyColors val="0"/>
        <c:ser>
          <c:idx val="3"/>
          <c:order val="3"/>
          <c:tx>
            <c:v>Depth of infiltration front</c:v>
          </c:tx>
          <c:spPr>
            <a:ln w="25400" cap="rnd">
              <a:solidFill>
                <a:schemeClr val="tx1">
                  <a:lumMod val="65000"/>
                  <a:lumOff val="35000"/>
                </a:schemeClr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GreenAmpt!$A$17:$A$167</c:f>
              <c:numCache>
                <c:formatCode>General</c:formatCode>
                <c:ptCount val="151"/>
                <c:pt idx="0">
                  <c:v>0</c:v>
                </c:pt>
                <c:pt idx="1">
                  <c:v>1E-3</c:v>
                </c:pt>
                <c:pt idx="2">
                  <c:v>0.02</c:v>
                </c:pt>
                <c:pt idx="3">
                  <c:v>0.04</c:v>
                </c:pt>
                <c:pt idx="4">
                  <c:v>0.06</c:v>
                </c:pt>
                <c:pt idx="5">
                  <c:v>0.08</c:v>
                </c:pt>
                <c:pt idx="6">
                  <c:v>0.1</c:v>
                </c:pt>
                <c:pt idx="7">
                  <c:v>0.12000000000000001</c:v>
                </c:pt>
                <c:pt idx="8">
                  <c:v>0.14000000000000001</c:v>
                </c:pt>
                <c:pt idx="9">
                  <c:v>0.16</c:v>
                </c:pt>
                <c:pt idx="10">
                  <c:v>0.18</c:v>
                </c:pt>
                <c:pt idx="11">
                  <c:v>0.19999999999999998</c:v>
                </c:pt>
                <c:pt idx="12">
                  <c:v>0.21999999999999997</c:v>
                </c:pt>
                <c:pt idx="13">
                  <c:v>0.23999999999999996</c:v>
                </c:pt>
                <c:pt idx="14">
                  <c:v>0.25999999999999995</c:v>
                </c:pt>
                <c:pt idx="15">
                  <c:v>0.27999999999999997</c:v>
                </c:pt>
                <c:pt idx="16">
                  <c:v>0.3</c:v>
                </c:pt>
                <c:pt idx="17">
                  <c:v>0.32</c:v>
                </c:pt>
                <c:pt idx="18">
                  <c:v>0.34</c:v>
                </c:pt>
                <c:pt idx="19">
                  <c:v>0.36000000000000004</c:v>
                </c:pt>
                <c:pt idx="20">
                  <c:v>0.38000000000000006</c:v>
                </c:pt>
                <c:pt idx="21">
                  <c:v>0.40000000000000008</c:v>
                </c:pt>
                <c:pt idx="22">
                  <c:v>0.4200000000000001</c:v>
                </c:pt>
                <c:pt idx="23">
                  <c:v>0.44000000000000011</c:v>
                </c:pt>
                <c:pt idx="24">
                  <c:v>0.46000000000000013</c:v>
                </c:pt>
                <c:pt idx="25">
                  <c:v>0.48000000000000015</c:v>
                </c:pt>
                <c:pt idx="26">
                  <c:v>0.50000000000000011</c:v>
                </c:pt>
                <c:pt idx="27">
                  <c:v>0.52000000000000013</c:v>
                </c:pt>
                <c:pt idx="28">
                  <c:v>0.54000000000000015</c:v>
                </c:pt>
                <c:pt idx="29">
                  <c:v>0.56000000000000016</c:v>
                </c:pt>
                <c:pt idx="30">
                  <c:v>0.58000000000000018</c:v>
                </c:pt>
                <c:pt idx="31">
                  <c:v>0.6000000000000002</c:v>
                </c:pt>
                <c:pt idx="32">
                  <c:v>0.62000000000000022</c:v>
                </c:pt>
                <c:pt idx="33">
                  <c:v>0.64000000000000024</c:v>
                </c:pt>
                <c:pt idx="34">
                  <c:v>0.66000000000000025</c:v>
                </c:pt>
                <c:pt idx="35">
                  <c:v>0.68000000000000027</c:v>
                </c:pt>
                <c:pt idx="36">
                  <c:v>0.70000000000000029</c:v>
                </c:pt>
                <c:pt idx="37">
                  <c:v>0.72000000000000031</c:v>
                </c:pt>
                <c:pt idx="38">
                  <c:v>0.74000000000000032</c:v>
                </c:pt>
                <c:pt idx="39">
                  <c:v>0.76000000000000034</c:v>
                </c:pt>
                <c:pt idx="40">
                  <c:v>0.78000000000000036</c:v>
                </c:pt>
                <c:pt idx="41">
                  <c:v>0.80000000000000038</c:v>
                </c:pt>
                <c:pt idx="42">
                  <c:v>0.8200000000000004</c:v>
                </c:pt>
                <c:pt idx="43">
                  <c:v>0.84000000000000041</c:v>
                </c:pt>
                <c:pt idx="44">
                  <c:v>0.86000000000000043</c:v>
                </c:pt>
                <c:pt idx="45">
                  <c:v>0.88000000000000045</c:v>
                </c:pt>
                <c:pt idx="46">
                  <c:v>0.90000000000000047</c:v>
                </c:pt>
                <c:pt idx="47">
                  <c:v>0.92000000000000048</c:v>
                </c:pt>
                <c:pt idx="48">
                  <c:v>0.9400000000000005</c:v>
                </c:pt>
                <c:pt idx="49">
                  <c:v>0.96000000000000052</c:v>
                </c:pt>
                <c:pt idx="50">
                  <c:v>0.98000000000000054</c:v>
                </c:pt>
                <c:pt idx="51">
                  <c:v>1.0000000000000004</c:v>
                </c:pt>
                <c:pt idx="52">
                  <c:v>1.0200000000000005</c:v>
                </c:pt>
                <c:pt idx="53">
                  <c:v>1.0400000000000005</c:v>
                </c:pt>
                <c:pt idx="54">
                  <c:v>1.0600000000000005</c:v>
                </c:pt>
                <c:pt idx="55">
                  <c:v>1.0800000000000005</c:v>
                </c:pt>
                <c:pt idx="56">
                  <c:v>1.1000000000000005</c:v>
                </c:pt>
                <c:pt idx="57">
                  <c:v>1.1200000000000006</c:v>
                </c:pt>
                <c:pt idx="58">
                  <c:v>1.1400000000000006</c:v>
                </c:pt>
                <c:pt idx="59">
                  <c:v>1.1600000000000006</c:v>
                </c:pt>
                <c:pt idx="60">
                  <c:v>1.1800000000000006</c:v>
                </c:pt>
                <c:pt idx="61">
                  <c:v>1.2000000000000006</c:v>
                </c:pt>
                <c:pt idx="62">
                  <c:v>1.2200000000000006</c:v>
                </c:pt>
                <c:pt idx="63">
                  <c:v>1.2400000000000007</c:v>
                </c:pt>
                <c:pt idx="64">
                  <c:v>1.2600000000000007</c:v>
                </c:pt>
                <c:pt idx="65">
                  <c:v>1.2800000000000007</c:v>
                </c:pt>
                <c:pt idx="66">
                  <c:v>1.3000000000000007</c:v>
                </c:pt>
                <c:pt idx="67">
                  <c:v>1.3200000000000007</c:v>
                </c:pt>
                <c:pt idx="68">
                  <c:v>1.3400000000000007</c:v>
                </c:pt>
                <c:pt idx="69">
                  <c:v>1.3600000000000008</c:v>
                </c:pt>
                <c:pt idx="70">
                  <c:v>1.3800000000000008</c:v>
                </c:pt>
                <c:pt idx="71">
                  <c:v>1.4000000000000008</c:v>
                </c:pt>
                <c:pt idx="72">
                  <c:v>1.4200000000000008</c:v>
                </c:pt>
                <c:pt idx="73">
                  <c:v>1.4400000000000008</c:v>
                </c:pt>
                <c:pt idx="74">
                  <c:v>1.4600000000000009</c:v>
                </c:pt>
                <c:pt idx="75">
                  <c:v>1.4800000000000009</c:v>
                </c:pt>
                <c:pt idx="76">
                  <c:v>1.5000000000000009</c:v>
                </c:pt>
                <c:pt idx="77">
                  <c:v>1.5200000000000009</c:v>
                </c:pt>
                <c:pt idx="78">
                  <c:v>1.5400000000000009</c:v>
                </c:pt>
                <c:pt idx="79">
                  <c:v>1.5600000000000009</c:v>
                </c:pt>
                <c:pt idx="80">
                  <c:v>1.580000000000001</c:v>
                </c:pt>
                <c:pt idx="81">
                  <c:v>1.600000000000001</c:v>
                </c:pt>
                <c:pt idx="82">
                  <c:v>1.620000000000001</c:v>
                </c:pt>
                <c:pt idx="83">
                  <c:v>1.640000000000001</c:v>
                </c:pt>
                <c:pt idx="84">
                  <c:v>1.660000000000001</c:v>
                </c:pt>
                <c:pt idx="85">
                  <c:v>1.680000000000001</c:v>
                </c:pt>
                <c:pt idx="86">
                  <c:v>1.7000000000000011</c:v>
                </c:pt>
                <c:pt idx="87">
                  <c:v>1.7200000000000011</c:v>
                </c:pt>
                <c:pt idx="88">
                  <c:v>1.7400000000000011</c:v>
                </c:pt>
                <c:pt idx="89">
                  <c:v>1.7600000000000011</c:v>
                </c:pt>
                <c:pt idx="90">
                  <c:v>1.7800000000000011</c:v>
                </c:pt>
                <c:pt idx="91">
                  <c:v>1.8000000000000012</c:v>
                </c:pt>
                <c:pt idx="92">
                  <c:v>1.8200000000000012</c:v>
                </c:pt>
                <c:pt idx="93">
                  <c:v>1.8400000000000012</c:v>
                </c:pt>
                <c:pt idx="94">
                  <c:v>1.8600000000000012</c:v>
                </c:pt>
                <c:pt idx="95">
                  <c:v>1.8800000000000012</c:v>
                </c:pt>
                <c:pt idx="96">
                  <c:v>1.9000000000000012</c:v>
                </c:pt>
                <c:pt idx="97">
                  <c:v>1.9200000000000013</c:v>
                </c:pt>
                <c:pt idx="98">
                  <c:v>1.9400000000000013</c:v>
                </c:pt>
                <c:pt idx="99">
                  <c:v>1.9600000000000013</c:v>
                </c:pt>
                <c:pt idx="100">
                  <c:v>1.9800000000000013</c:v>
                </c:pt>
              </c:numCache>
            </c:numRef>
          </c:xVal>
          <c:yVal>
            <c:numRef>
              <c:f>GreenAmpt!$D$17:$D$167</c:f>
              <c:numCache>
                <c:formatCode>0.00E+00</c:formatCode>
                <c:ptCount val="151"/>
                <c:pt idx="0">
                  <c:v>0</c:v>
                </c:pt>
                <c:pt idx="1">
                  <c:v>8.1967213114754106E-2</c:v>
                </c:pt>
                <c:pt idx="2">
                  <c:v>1.639344262295082</c:v>
                </c:pt>
                <c:pt idx="3">
                  <c:v>3.278688524590164</c:v>
                </c:pt>
                <c:pt idx="4">
                  <c:v>4.918032786885246</c:v>
                </c:pt>
                <c:pt idx="5">
                  <c:v>6.557377049180328</c:v>
                </c:pt>
                <c:pt idx="6">
                  <c:v>8.1967213114754092</c:v>
                </c:pt>
                <c:pt idx="7">
                  <c:v>9.8360655737704921</c:v>
                </c:pt>
                <c:pt idx="8">
                  <c:v>11.475409836065573</c:v>
                </c:pt>
                <c:pt idx="9">
                  <c:v>13.114754098360654</c:v>
                </c:pt>
                <c:pt idx="10">
                  <c:v>14.754098360655737</c:v>
                </c:pt>
                <c:pt idx="11">
                  <c:v>16.393442622950818</c:v>
                </c:pt>
                <c:pt idx="12">
                  <c:v>18.032786885245901</c:v>
                </c:pt>
                <c:pt idx="13">
                  <c:v>19.672131147540981</c:v>
                </c:pt>
                <c:pt idx="14">
                  <c:v>21.31147540983606</c:v>
                </c:pt>
                <c:pt idx="15">
                  <c:v>22.950819672131143</c:v>
                </c:pt>
                <c:pt idx="16">
                  <c:v>24.590163934426226</c:v>
                </c:pt>
                <c:pt idx="17">
                  <c:v>26.229508196721309</c:v>
                </c:pt>
                <c:pt idx="18">
                  <c:v>27.868852459016395</c:v>
                </c:pt>
                <c:pt idx="19">
                  <c:v>29.508196721311478</c:v>
                </c:pt>
                <c:pt idx="20">
                  <c:v>31.147540983606561</c:v>
                </c:pt>
                <c:pt idx="21">
                  <c:v>32.786885245901637</c:v>
                </c:pt>
                <c:pt idx="22">
                  <c:v>34.426229508196727</c:v>
                </c:pt>
                <c:pt idx="23">
                  <c:v>36.06557377049181</c:v>
                </c:pt>
                <c:pt idx="24">
                  <c:v>37.704918032786892</c:v>
                </c:pt>
                <c:pt idx="25">
                  <c:v>39.344262295081975</c:v>
                </c:pt>
                <c:pt idx="26">
                  <c:v>40.983606557377051</c:v>
                </c:pt>
                <c:pt idx="27">
                  <c:v>42.622950819672134</c:v>
                </c:pt>
                <c:pt idx="28">
                  <c:v>44.234325346784367</c:v>
                </c:pt>
                <c:pt idx="29">
                  <c:v>45.809215683119547</c:v>
                </c:pt>
                <c:pt idx="30">
                  <c:v>47.35092809613959</c:v>
                </c:pt>
                <c:pt idx="31">
                  <c:v>48.862299280591941</c:v>
                </c:pt>
                <c:pt idx="32">
                  <c:v>50.345784871846547</c:v>
                </c:pt>
                <c:pt idx="33">
                  <c:v>51.803527563542566</c:v>
                </c:pt>
                <c:pt idx="34">
                  <c:v>53.237410303115553</c:v>
                </c:pt>
                <c:pt idx="35">
                  <c:v>54.649098381157813</c:v>
                </c:pt>
                <c:pt idx="36">
                  <c:v>56.040073127052111</c:v>
                </c:pt>
                <c:pt idx="37">
                  <c:v>57.411659172740684</c:v>
                </c:pt>
                <c:pt idx="38">
                  <c:v>58.765046726030953</c:v>
                </c:pt>
                <c:pt idx="39">
                  <c:v>60.101309927605868</c:v>
                </c:pt>
                <c:pt idx="40">
                  <c:v>61.421422102661843</c:v>
                </c:pt>
                <c:pt idx="41">
                  <c:v>62.726268526654422</c:v>
                </c:pt>
                <c:pt idx="42">
                  <c:v>64.016657183556404</c:v>
                </c:pt>
                <c:pt idx="43">
                  <c:v>65.293327889804431</c:v>
                </c:pt>
                <c:pt idx="44">
                  <c:v>66.556960077735596</c:v>
                </c:pt>
                <c:pt idx="45">
                  <c:v>67.808179471819344</c:v>
                </c:pt>
                <c:pt idx="46">
                  <c:v>69.047563844436297</c:v>
                </c:pt>
                <c:pt idx="47">
                  <c:v>70.275648001808648</c:v>
                </c:pt>
                <c:pt idx="48">
                  <c:v>71.492928122385166</c:v>
                </c:pt>
                <c:pt idx="49">
                  <c:v>72.699865547649893</c:v>
                </c:pt>
                <c:pt idx="50">
                  <c:v>73.896890107570783</c:v>
                </c:pt>
                <c:pt idx="51">
                  <c:v>75.084403048694028</c:v>
                </c:pt>
                <c:pt idx="52">
                  <c:v>76.262779621441823</c:v>
                </c:pt>
                <c:pt idx="53">
                  <c:v>77.432371373892792</c:v>
                </c:pt>
                <c:pt idx="54">
                  <c:v>78.59350819175836</c:v>
                </c:pt>
                <c:pt idx="55">
                  <c:v>79.746500118068226</c:v>
                </c:pt>
                <c:pt idx="56">
                  <c:v>80.89163898096804</c:v>
                </c:pt>
                <c:pt idx="57">
                  <c:v>82.029199853801657</c:v>
                </c:pt>
                <c:pt idx="58">
                  <c:v>83.159442368130826</c:v>
                </c:pt>
                <c:pt idx="59">
                  <c:v>84.282611897404237</c:v>
                </c:pt>
                <c:pt idx="60">
                  <c:v>85.398940626519661</c:v>
                </c:pt>
                <c:pt idx="61">
                  <c:v>86.508648520443813</c:v>
                </c:pt>
                <c:pt idx="62">
                  <c:v>87.611944203295906</c:v>
                </c:pt>
                <c:pt idx="63">
                  <c:v>88.709025757807908</c:v>
                </c:pt>
                <c:pt idx="64">
                  <c:v>89.800081453802505</c:v>
                </c:pt>
                <c:pt idx="65">
                  <c:v>90.885290413243027</c:v>
                </c:pt>
                <c:pt idx="66">
                  <c:v>91.964823218476909</c:v>
                </c:pt>
                <c:pt idx="67">
                  <c:v>93.038842469492693</c:v>
                </c:pt>
                <c:pt idx="68">
                  <c:v>94.107503295318196</c:v>
                </c:pt>
                <c:pt idx="69">
                  <c:v>95.17095382408948</c:v>
                </c:pt>
                <c:pt idx="70">
                  <c:v>96.229335615800125</c:v>
                </c:pt>
                <c:pt idx="71">
                  <c:v>97.282784061288893</c:v>
                </c:pt>
                <c:pt idx="72">
                  <c:v>98.331428750629726</c:v>
                </c:pt>
                <c:pt idx="73">
                  <c:v>99.375393813743273</c:v>
                </c:pt>
                <c:pt idx="74">
                  <c:v>100.41479823574714</c:v>
                </c:pt>
                <c:pt idx="75">
                  <c:v>101.44975614929737</c:v>
                </c:pt>
                <c:pt idx="76">
                  <c:v>102.48037710593921</c:v>
                </c:pt>
                <c:pt idx="77">
                  <c:v>103.50676632828011</c:v>
                </c:pt>
                <c:pt idx="78">
                  <c:v>104.52902494461519</c:v>
                </c:pt>
                <c:pt idx="79">
                  <c:v>105.54725020747442</c:v>
                </c:pt>
                <c:pt idx="80">
                  <c:v>106.56153569741738</c:v>
                </c:pt>
                <c:pt idx="81">
                  <c:v>107.57197151327421</c:v>
                </c:pt>
                <c:pt idx="82">
                  <c:v>108.57864444991803</c:v>
                </c:pt>
                <c:pt idx="83">
                  <c:v>109.58163816455283</c:v>
                </c:pt>
                <c:pt idx="84">
                  <c:v>110.58103333241034</c:v>
                </c:pt>
                <c:pt idx="85">
                  <c:v>111.57690779266831</c:v>
                </c:pt>
                <c:pt idx="86">
                  <c:v>112.56933668533034</c:v>
                </c:pt>
                <c:pt idx="87">
                  <c:v>113.55839257974164</c:v>
                </c:pt>
                <c:pt idx="88">
                  <c:v>114.54414559535665</c:v>
                </c:pt>
                <c:pt idx="89">
                  <c:v>115.52666351532189</c:v>
                </c:pt>
                <c:pt idx="90">
                  <c:v>116.5060118933888</c:v>
                </c:pt>
                <c:pt idx="91">
                  <c:v>117.48225415462935</c:v>
                </c:pt>
                <c:pt idx="92">
                  <c:v>118.45545169038718</c:v>
                </c:pt>
                <c:pt idx="93">
                  <c:v>119.42566394786255</c:v>
                </c:pt>
                <c:pt idx="94">
                  <c:v>120.39294851469649</c:v>
                </c:pt>
                <c:pt idx="95">
                  <c:v>121.35736119889134</c:v>
                </c:pt>
                <c:pt idx="96">
                  <c:v>122.31895610437761</c:v>
                </c:pt>
                <c:pt idx="97">
                  <c:v>123.27778570251338</c:v>
                </c:pt>
                <c:pt idx="98">
                  <c:v>124.23390089978065</c:v>
                </c:pt>
                <c:pt idx="99">
                  <c:v>125.18735110192252</c:v>
                </c:pt>
                <c:pt idx="100">
                  <c:v>126.13818427474725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58-8246-96CA-9C6AA9E49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5048255"/>
        <c:axId val="1389081024"/>
      </c:scatterChart>
      <c:valAx>
        <c:axId val="2011612496"/>
        <c:scaling>
          <c:orientation val="minMax"/>
          <c:max val="1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641520"/>
        <c:crosses val="autoZero"/>
        <c:crossBetween val="midCat"/>
      </c:valAx>
      <c:valAx>
        <c:axId val="730641520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Rate (mm/hr)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612496"/>
        <c:crosses val="autoZero"/>
        <c:crossBetween val="midCat"/>
      </c:valAx>
      <c:valAx>
        <c:axId val="1389081024"/>
        <c:scaling>
          <c:orientation val="minMax"/>
          <c:max val="15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Depth of infiltration front</a:t>
                </a:r>
                <a:r>
                  <a:rPr lang="en-US" sz="1400" baseline="0"/>
                  <a:t> (mm)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048255"/>
        <c:crosses val="max"/>
        <c:crossBetween val="midCat"/>
      </c:valAx>
      <c:valAx>
        <c:axId val="11750482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89081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7135658608000636"/>
          <c:y val="0.11825229988977819"/>
          <c:w val="0.29623135361848613"/>
          <c:h val="0.14181772337927109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Potential infiltration </a:t>
            </a:r>
            <a:r>
              <a:rPr lang="en-US" sz="1800" baseline="0"/>
              <a:t>into silty clay for the Green-Ampt and Horton representations 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008507102441335E-2"/>
          <c:y val="8.145478384277903E-2"/>
          <c:w val="0.88940361255094369"/>
          <c:h val="0.81160397951171015"/>
        </c:manualLayout>
      </c:layout>
      <c:scatterChart>
        <c:scatterStyle val="lineMarker"/>
        <c:varyColors val="0"/>
        <c:ser>
          <c:idx val="0"/>
          <c:order val="0"/>
          <c:tx>
            <c:v>Rainfall rate</c:v>
          </c:tx>
          <c:spPr>
            <a:ln w="381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GreenAmpt!$A$17:$A$167</c:f>
              <c:numCache>
                <c:formatCode>General</c:formatCode>
                <c:ptCount val="151"/>
                <c:pt idx="0">
                  <c:v>0</c:v>
                </c:pt>
                <c:pt idx="1">
                  <c:v>1E-3</c:v>
                </c:pt>
                <c:pt idx="2">
                  <c:v>0.02</c:v>
                </c:pt>
                <c:pt idx="3">
                  <c:v>0.04</c:v>
                </c:pt>
                <c:pt idx="4">
                  <c:v>0.06</c:v>
                </c:pt>
                <c:pt idx="5">
                  <c:v>0.08</c:v>
                </c:pt>
                <c:pt idx="6">
                  <c:v>0.1</c:v>
                </c:pt>
                <c:pt idx="7">
                  <c:v>0.12000000000000001</c:v>
                </c:pt>
                <c:pt idx="8">
                  <c:v>0.14000000000000001</c:v>
                </c:pt>
                <c:pt idx="9">
                  <c:v>0.16</c:v>
                </c:pt>
                <c:pt idx="10">
                  <c:v>0.18</c:v>
                </c:pt>
                <c:pt idx="11">
                  <c:v>0.19999999999999998</c:v>
                </c:pt>
                <c:pt idx="12">
                  <c:v>0.21999999999999997</c:v>
                </c:pt>
                <c:pt idx="13">
                  <c:v>0.23999999999999996</c:v>
                </c:pt>
                <c:pt idx="14">
                  <c:v>0.25999999999999995</c:v>
                </c:pt>
                <c:pt idx="15">
                  <c:v>0.27999999999999997</c:v>
                </c:pt>
                <c:pt idx="16">
                  <c:v>0.3</c:v>
                </c:pt>
                <c:pt idx="17">
                  <c:v>0.32</c:v>
                </c:pt>
                <c:pt idx="18">
                  <c:v>0.34</c:v>
                </c:pt>
                <c:pt idx="19">
                  <c:v>0.36000000000000004</c:v>
                </c:pt>
                <c:pt idx="20">
                  <c:v>0.38000000000000006</c:v>
                </c:pt>
                <c:pt idx="21">
                  <c:v>0.40000000000000008</c:v>
                </c:pt>
                <c:pt idx="22">
                  <c:v>0.4200000000000001</c:v>
                </c:pt>
                <c:pt idx="23">
                  <c:v>0.44000000000000011</c:v>
                </c:pt>
                <c:pt idx="24">
                  <c:v>0.46000000000000013</c:v>
                </c:pt>
                <c:pt idx="25">
                  <c:v>0.48000000000000015</c:v>
                </c:pt>
                <c:pt idx="26">
                  <c:v>0.50000000000000011</c:v>
                </c:pt>
                <c:pt idx="27">
                  <c:v>0.52000000000000013</c:v>
                </c:pt>
                <c:pt idx="28">
                  <c:v>0.54000000000000015</c:v>
                </c:pt>
                <c:pt idx="29">
                  <c:v>0.56000000000000016</c:v>
                </c:pt>
                <c:pt idx="30">
                  <c:v>0.58000000000000018</c:v>
                </c:pt>
                <c:pt idx="31">
                  <c:v>0.6000000000000002</c:v>
                </c:pt>
                <c:pt idx="32">
                  <c:v>0.62000000000000022</c:v>
                </c:pt>
                <c:pt idx="33">
                  <c:v>0.64000000000000024</c:v>
                </c:pt>
                <c:pt idx="34">
                  <c:v>0.66000000000000025</c:v>
                </c:pt>
                <c:pt idx="35">
                  <c:v>0.68000000000000027</c:v>
                </c:pt>
                <c:pt idx="36">
                  <c:v>0.70000000000000029</c:v>
                </c:pt>
                <c:pt idx="37">
                  <c:v>0.72000000000000031</c:v>
                </c:pt>
                <c:pt idx="38">
                  <c:v>0.74000000000000032</c:v>
                </c:pt>
                <c:pt idx="39">
                  <c:v>0.76000000000000034</c:v>
                </c:pt>
                <c:pt idx="40">
                  <c:v>0.78000000000000036</c:v>
                </c:pt>
                <c:pt idx="41">
                  <c:v>0.80000000000000038</c:v>
                </c:pt>
                <c:pt idx="42">
                  <c:v>0.8200000000000004</c:v>
                </c:pt>
                <c:pt idx="43">
                  <c:v>0.84000000000000041</c:v>
                </c:pt>
                <c:pt idx="44">
                  <c:v>0.86000000000000043</c:v>
                </c:pt>
                <c:pt idx="45">
                  <c:v>0.88000000000000045</c:v>
                </c:pt>
                <c:pt idx="46">
                  <c:v>0.90000000000000047</c:v>
                </c:pt>
                <c:pt idx="47">
                  <c:v>0.92000000000000048</c:v>
                </c:pt>
                <c:pt idx="48">
                  <c:v>0.9400000000000005</c:v>
                </c:pt>
                <c:pt idx="49">
                  <c:v>0.96000000000000052</c:v>
                </c:pt>
                <c:pt idx="50">
                  <c:v>0.98000000000000054</c:v>
                </c:pt>
                <c:pt idx="51">
                  <c:v>1.0000000000000004</c:v>
                </c:pt>
                <c:pt idx="52">
                  <c:v>1.0200000000000005</c:v>
                </c:pt>
                <c:pt idx="53">
                  <c:v>1.0400000000000005</c:v>
                </c:pt>
                <c:pt idx="54">
                  <c:v>1.0600000000000005</c:v>
                </c:pt>
                <c:pt idx="55">
                  <c:v>1.0800000000000005</c:v>
                </c:pt>
                <c:pt idx="56">
                  <c:v>1.1000000000000005</c:v>
                </c:pt>
                <c:pt idx="57">
                  <c:v>1.1200000000000006</c:v>
                </c:pt>
                <c:pt idx="58">
                  <c:v>1.1400000000000006</c:v>
                </c:pt>
                <c:pt idx="59">
                  <c:v>1.1600000000000006</c:v>
                </c:pt>
                <c:pt idx="60">
                  <c:v>1.1800000000000006</c:v>
                </c:pt>
                <c:pt idx="61">
                  <c:v>1.2000000000000006</c:v>
                </c:pt>
                <c:pt idx="62">
                  <c:v>1.2200000000000006</c:v>
                </c:pt>
                <c:pt idx="63">
                  <c:v>1.2400000000000007</c:v>
                </c:pt>
                <c:pt idx="64">
                  <c:v>1.2600000000000007</c:v>
                </c:pt>
                <c:pt idx="65">
                  <c:v>1.2800000000000007</c:v>
                </c:pt>
                <c:pt idx="66">
                  <c:v>1.3000000000000007</c:v>
                </c:pt>
                <c:pt idx="67">
                  <c:v>1.3200000000000007</c:v>
                </c:pt>
                <c:pt idx="68">
                  <c:v>1.3400000000000007</c:v>
                </c:pt>
                <c:pt idx="69">
                  <c:v>1.3600000000000008</c:v>
                </c:pt>
                <c:pt idx="70">
                  <c:v>1.3800000000000008</c:v>
                </c:pt>
                <c:pt idx="71">
                  <c:v>1.4000000000000008</c:v>
                </c:pt>
                <c:pt idx="72">
                  <c:v>1.4200000000000008</c:v>
                </c:pt>
                <c:pt idx="73">
                  <c:v>1.4400000000000008</c:v>
                </c:pt>
                <c:pt idx="74">
                  <c:v>1.4600000000000009</c:v>
                </c:pt>
                <c:pt idx="75">
                  <c:v>1.4800000000000009</c:v>
                </c:pt>
                <c:pt idx="76">
                  <c:v>1.5000000000000009</c:v>
                </c:pt>
                <c:pt idx="77">
                  <c:v>1.5200000000000009</c:v>
                </c:pt>
                <c:pt idx="78">
                  <c:v>1.5400000000000009</c:v>
                </c:pt>
                <c:pt idx="79">
                  <c:v>1.5600000000000009</c:v>
                </c:pt>
                <c:pt idx="80">
                  <c:v>1.580000000000001</c:v>
                </c:pt>
                <c:pt idx="81">
                  <c:v>1.600000000000001</c:v>
                </c:pt>
                <c:pt idx="82">
                  <c:v>1.620000000000001</c:v>
                </c:pt>
                <c:pt idx="83">
                  <c:v>1.640000000000001</c:v>
                </c:pt>
                <c:pt idx="84">
                  <c:v>1.660000000000001</c:v>
                </c:pt>
                <c:pt idx="85">
                  <c:v>1.680000000000001</c:v>
                </c:pt>
                <c:pt idx="86">
                  <c:v>1.7000000000000011</c:v>
                </c:pt>
                <c:pt idx="87">
                  <c:v>1.7200000000000011</c:v>
                </c:pt>
                <c:pt idx="88">
                  <c:v>1.7400000000000011</c:v>
                </c:pt>
                <c:pt idx="89">
                  <c:v>1.7600000000000011</c:v>
                </c:pt>
                <c:pt idx="90">
                  <c:v>1.7800000000000011</c:v>
                </c:pt>
                <c:pt idx="91">
                  <c:v>1.8000000000000012</c:v>
                </c:pt>
                <c:pt idx="92">
                  <c:v>1.8200000000000012</c:v>
                </c:pt>
                <c:pt idx="93">
                  <c:v>1.8400000000000012</c:v>
                </c:pt>
                <c:pt idx="94">
                  <c:v>1.8600000000000012</c:v>
                </c:pt>
                <c:pt idx="95">
                  <c:v>1.8800000000000012</c:v>
                </c:pt>
                <c:pt idx="96">
                  <c:v>1.9000000000000012</c:v>
                </c:pt>
                <c:pt idx="97">
                  <c:v>1.9200000000000013</c:v>
                </c:pt>
                <c:pt idx="98">
                  <c:v>1.9400000000000013</c:v>
                </c:pt>
                <c:pt idx="99">
                  <c:v>1.9600000000000013</c:v>
                </c:pt>
                <c:pt idx="100">
                  <c:v>1.9800000000000013</c:v>
                </c:pt>
              </c:numCache>
            </c:numRef>
          </c:xVal>
          <c:yVal>
            <c:numRef>
              <c:f>GreenAmpt!$B$17:$B$167</c:f>
              <c:numCache>
                <c:formatCode>0.00E+00</c:formatCode>
                <c:ptCount val="15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6A-0046-933C-658369F4E291}"/>
            </c:ext>
          </c:extLst>
        </c:ser>
        <c:ser>
          <c:idx val="1"/>
          <c:order val="1"/>
          <c:tx>
            <c:v>Potential infiltration (Green-Ampt)</c:v>
          </c:tx>
          <c:spPr>
            <a:ln w="381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GreenAmpt!$A$17:$A$167</c:f>
              <c:numCache>
                <c:formatCode>General</c:formatCode>
                <c:ptCount val="151"/>
                <c:pt idx="0">
                  <c:v>0</c:v>
                </c:pt>
                <c:pt idx="1">
                  <c:v>1E-3</c:v>
                </c:pt>
                <c:pt idx="2">
                  <c:v>0.02</c:v>
                </c:pt>
                <c:pt idx="3">
                  <c:v>0.04</c:v>
                </c:pt>
                <c:pt idx="4">
                  <c:v>0.06</c:v>
                </c:pt>
                <c:pt idx="5">
                  <c:v>0.08</c:v>
                </c:pt>
                <c:pt idx="6">
                  <c:v>0.1</c:v>
                </c:pt>
                <c:pt idx="7">
                  <c:v>0.12000000000000001</c:v>
                </c:pt>
                <c:pt idx="8">
                  <c:v>0.14000000000000001</c:v>
                </c:pt>
                <c:pt idx="9">
                  <c:v>0.16</c:v>
                </c:pt>
                <c:pt idx="10">
                  <c:v>0.18</c:v>
                </c:pt>
                <c:pt idx="11">
                  <c:v>0.19999999999999998</c:v>
                </c:pt>
                <c:pt idx="12">
                  <c:v>0.21999999999999997</c:v>
                </c:pt>
                <c:pt idx="13">
                  <c:v>0.23999999999999996</c:v>
                </c:pt>
                <c:pt idx="14">
                  <c:v>0.25999999999999995</c:v>
                </c:pt>
                <c:pt idx="15">
                  <c:v>0.27999999999999997</c:v>
                </c:pt>
                <c:pt idx="16">
                  <c:v>0.3</c:v>
                </c:pt>
                <c:pt idx="17">
                  <c:v>0.32</c:v>
                </c:pt>
                <c:pt idx="18">
                  <c:v>0.34</c:v>
                </c:pt>
                <c:pt idx="19">
                  <c:v>0.36000000000000004</c:v>
                </c:pt>
                <c:pt idx="20">
                  <c:v>0.38000000000000006</c:v>
                </c:pt>
                <c:pt idx="21">
                  <c:v>0.40000000000000008</c:v>
                </c:pt>
                <c:pt idx="22">
                  <c:v>0.4200000000000001</c:v>
                </c:pt>
                <c:pt idx="23">
                  <c:v>0.44000000000000011</c:v>
                </c:pt>
                <c:pt idx="24">
                  <c:v>0.46000000000000013</c:v>
                </c:pt>
                <c:pt idx="25">
                  <c:v>0.48000000000000015</c:v>
                </c:pt>
                <c:pt idx="26">
                  <c:v>0.50000000000000011</c:v>
                </c:pt>
                <c:pt idx="27">
                  <c:v>0.52000000000000013</c:v>
                </c:pt>
                <c:pt idx="28">
                  <c:v>0.54000000000000015</c:v>
                </c:pt>
                <c:pt idx="29">
                  <c:v>0.56000000000000016</c:v>
                </c:pt>
                <c:pt idx="30">
                  <c:v>0.58000000000000018</c:v>
                </c:pt>
                <c:pt idx="31">
                  <c:v>0.6000000000000002</c:v>
                </c:pt>
                <c:pt idx="32">
                  <c:v>0.62000000000000022</c:v>
                </c:pt>
                <c:pt idx="33">
                  <c:v>0.64000000000000024</c:v>
                </c:pt>
                <c:pt idx="34">
                  <c:v>0.66000000000000025</c:v>
                </c:pt>
                <c:pt idx="35">
                  <c:v>0.68000000000000027</c:v>
                </c:pt>
                <c:pt idx="36">
                  <c:v>0.70000000000000029</c:v>
                </c:pt>
                <c:pt idx="37">
                  <c:v>0.72000000000000031</c:v>
                </c:pt>
                <c:pt idx="38">
                  <c:v>0.74000000000000032</c:v>
                </c:pt>
                <c:pt idx="39">
                  <c:v>0.76000000000000034</c:v>
                </c:pt>
                <c:pt idx="40">
                  <c:v>0.78000000000000036</c:v>
                </c:pt>
                <c:pt idx="41">
                  <c:v>0.80000000000000038</c:v>
                </c:pt>
                <c:pt idx="42">
                  <c:v>0.8200000000000004</c:v>
                </c:pt>
                <c:pt idx="43">
                  <c:v>0.84000000000000041</c:v>
                </c:pt>
                <c:pt idx="44">
                  <c:v>0.86000000000000043</c:v>
                </c:pt>
                <c:pt idx="45">
                  <c:v>0.88000000000000045</c:v>
                </c:pt>
                <c:pt idx="46">
                  <c:v>0.90000000000000047</c:v>
                </c:pt>
                <c:pt idx="47">
                  <c:v>0.92000000000000048</c:v>
                </c:pt>
                <c:pt idx="48">
                  <c:v>0.9400000000000005</c:v>
                </c:pt>
                <c:pt idx="49">
                  <c:v>0.96000000000000052</c:v>
                </c:pt>
                <c:pt idx="50">
                  <c:v>0.98000000000000054</c:v>
                </c:pt>
                <c:pt idx="51">
                  <c:v>1.0000000000000004</c:v>
                </c:pt>
                <c:pt idx="52">
                  <c:v>1.0200000000000005</c:v>
                </c:pt>
                <c:pt idx="53">
                  <c:v>1.0400000000000005</c:v>
                </c:pt>
                <c:pt idx="54">
                  <c:v>1.0600000000000005</c:v>
                </c:pt>
                <c:pt idx="55">
                  <c:v>1.0800000000000005</c:v>
                </c:pt>
                <c:pt idx="56">
                  <c:v>1.1000000000000005</c:v>
                </c:pt>
                <c:pt idx="57">
                  <c:v>1.1200000000000006</c:v>
                </c:pt>
                <c:pt idx="58">
                  <c:v>1.1400000000000006</c:v>
                </c:pt>
                <c:pt idx="59">
                  <c:v>1.1600000000000006</c:v>
                </c:pt>
                <c:pt idx="60">
                  <c:v>1.1800000000000006</c:v>
                </c:pt>
                <c:pt idx="61">
                  <c:v>1.2000000000000006</c:v>
                </c:pt>
                <c:pt idx="62">
                  <c:v>1.2200000000000006</c:v>
                </c:pt>
                <c:pt idx="63">
                  <c:v>1.2400000000000007</c:v>
                </c:pt>
                <c:pt idx="64">
                  <c:v>1.2600000000000007</c:v>
                </c:pt>
                <c:pt idx="65">
                  <c:v>1.2800000000000007</c:v>
                </c:pt>
                <c:pt idx="66">
                  <c:v>1.3000000000000007</c:v>
                </c:pt>
                <c:pt idx="67">
                  <c:v>1.3200000000000007</c:v>
                </c:pt>
                <c:pt idx="68">
                  <c:v>1.3400000000000007</c:v>
                </c:pt>
                <c:pt idx="69">
                  <c:v>1.3600000000000008</c:v>
                </c:pt>
                <c:pt idx="70">
                  <c:v>1.3800000000000008</c:v>
                </c:pt>
                <c:pt idx="71">
                  <c:v>1.4000000000000008</c:v>
                </c:pt>
                <c:pt idx="72">
                  <c:v>1.4200000000000008</c:v>
                </c:pt>
                <c:pt idx="73">
                  <c:v>1.4400000000000008</c:v>
                </c:pt>
                <c:pt idx="74">
                  <c:v>1.4600000000000009</c:v>
                </c:pt>
                <c:pt idx="75">
                  <c:v>1.4800000000000009</c:v>
                </c:pt>
                <c:pt idx="76">
                  <c:v>1.5000000000000009</c:v>
                </c:pt>
                <c:pt idx="77">
                  <c:v>1.5200000000000009</c:v>
                </c:pt>
                <c:pt idx="78">
                  <c:v>1.5400000000000009</c:v>
                </c:pt>
                <c:pt idx="79">
                  <c:v>1.5600000000000009</c:v>
                </c:pt>
                <c:pt idx="80">
                  <c:v>1.580000000000001</c:v>
                </c:pt>
                <c:pt idx="81">
                  <c:v>1.600000000000001</c:v>
                </c:pt>
                <c:pt idx="82">
                  <c:v>1.620000000000001</c:v>
                </c:pt>
                <c:pt idx="83">
                  <c:v>1.640000000000001</c:v>
                </c:pt>
                <c:pt idx="84">
                  <c:v>1.660000000000001</c:v>
                </c:pt>
                <c:pt idx="85">
                  <c:v>1.680000000000001</c:v>
                </c:pt>
                <c:pt idx="86">
                  <c:v>1.7000000000000011</c:v>
                </c:pt>
                <c:pt idx="87">
                  <c:v>1.7200000000000011</c:v>
                </c:pt>
                <c:pt idx="88">
                  <c:v>1.7400000000000011</c:v>
                </c:pt>
                <c:pt idx="89">
                  <c:v>1.7600000000000011</c:v>
                </c:pt>
                <c:pt idx="90">
                  <c:v>1.7800000000000011</c:v>
                </c:pt>
                <c:pt idx="91">
                  <c:v>1.8000000000000012</c:v>
                </c:pt>
                <c:pt idx="92">
                  <c:v>1.8200000000000012</c:v>
                </c:pt>
                <c:pt idx="93">
                  <c:v>1.8400000000000012</c:v>
                </c:pt>
                <c:pt idx="94">
                  <c:v>1.8600000000000012</c:v>
                </c:pt>
                <c:pt idx="95">
                  <c:v>1.8800000000000012</c:v>
                </c:pt>
                <c:pt idx="96">
                  <c:v>1.9000000000000012</c:v>
                </c:pt>
                <c:pt idx="97">
                  <c:v>1.9200000000000013</c:v>
                </c:pt>
                <c:pt idx="98">
                  <c:v>1.9400000000000013</c:v>
                </c:pt>
                <c:pt idx="99">
                  <c:v>1.9600000000000013</c:v>
                </c:pt>
                <c:pt idx="100">
                  <c:v>1.9800000000000013</c:v>
                </c:pt>
              </c:numCache>
            </c:numRef>
          </c:xVal>
          <c:yVal>
            <c:numRef>
              <c:f>GreenAmpt!$E$17:$E$167</c:f>
              <c:numCache>
                <c:formatCode>0.00E+00</c:formatCode>
                <c:ptCount val="151"/>
                <c:pt idx="0">
                  <c:v>1000</c:v>
                </c:pt>
                <c:pt idx="1">
                  <c:v>3180.6</c:v>
                </c:pt>
                <c:pt idx="2">
                  <c:v>162.56399999999999</c:v>
                </c:pt>
                <c:pt idx="3">
                  <c:v>83.141999999999996</c:v>
                </c:pt>
                <c:pt idx="4">
                  <c:v>56.667999999999999</c:v>
                </c:pt>
                <c:pt idx="5">
                  <c:v>43.430999999999997</c:v>
                </c:pt>
                <c:pt idx="6">
                  <c:v>35.488800000000005</c:v>
                </c:pt>
                <c:pt idx="7">
                  <c:v>30.194000000000003</c:v>
                </c:pt>
                <c:pt idx="8">
                  <c:v>26.412000000000003</c:v>
                </c:pt>
                <c:pt idx="9">
                  <c:v>23.575500000000002</c:v>
                </c:pt>
                <c:pt idx="10">
                  <c:v>21.369333333333334</c:v>
                </c:pt>
                <c:pt idx="11">
                  <c:v>19.604400000000002</c:v>
                </c:pt>
                <c:pt idx="12">
                  <c:v>18.160363636363638</c:v>
                </c:pt>
                <c:pt idx="13">
                  <c:v>16.957000000000001</c:v>
                </c:pt>
                <c:pt idx="14">
                  <c:v>15.938769230769234</c:v>
                </c:pt>
                <c:pt idx="15">
                  <c:v>15.066000000000004</c:v>
                </c:pt>
                <c:pt idx="16">
                  <c:v>14.309600000000003</c:v>
                </c:pt>
                <c:pt idx="17">
                  <c:v>13.647750000000002</c:v>
                </c:pt>
                <c:pt idx="18">
                  <c:v>13.063764705882354</c:v>
                </c:pt>
                <c:pt idx="19">
                  <c:v>12.544666666666668</c:v>
                </c:pt>
                <c:pt idx="20">
                  <c:v>12.080210526315788</c:v>
                </c:pt>
                <c:pt idx="21">
                  <c:v>11.662200000000002</c:v>
                </c:pt>
                <c:pt idx="22">
                  <c:v>11.284000000000001</c:v>
                </c:pt>
                <c:pt idx="23">
                  <c:v>10.940181818181816</c:v>
                </c:pt>
                <c:pt idx="24">
                  <c:v>10.626260869565217</c:v>
                </c:pt>
                <c:pt idx="25">
                  <c:v>10.3385</c:v>
                </c:pt>
                <c:pt idx="26">
                  <c:v>10.073760000000002</c:v>
                </c:pt>
                <c:pt idx="27">
                  <c:v>9.8293846153846154</c:v>
                </c:pt>
                <c:pt idx="28">
                  <c:v>9.6068310516445994</c:v>
                </c:pt>
                <c:pt idx="29">
                  <c:v>9.4044457194222613</c:v>
                </c:pt>
                <c:pt idx="30">
                  <c:v>9.2193642251592927</c:v>
                </c:pt>
                <c:pt idx="31">
                  <c:v>9.0492621066530656</c:v>
                </c:pt>
                <c:pt idx="32">
                  <c:v>8.8922304193457151</c:v>
                </c:pt>
                <c:pt idx="33">
                  <c:v>8.7466847113952149</c:v>
                </c:pt>
                <c:pt idx="34">
                  <c:v>8.6112972760577904</c:v>
                </c:pt>
                <c:pt idx="35">
                  <c:v>8.4849459499551791</c:v>
                </c:pt>
                <c:pt idx="36">
                  <c:v>8.3666748787002856</c:v>
                </c:pt>
                <c:pt idx="37">
                  <c:v>8.255664075070646</c:v>
                </c:pt>
                <c:pt idx="38">
                  <c:v>8.1512055296069637</c:v>
                </c:pt>
                <c:pt idx="39">
                  <c:v>8.0526842678414337</c:v>
                </c:pt>
                <c:pt idx="40">
                  <c:v>7.9595631863547318</c:v>
                </c:pt>
                <c:pt idx="41">
                  <c:v>7.8713708071020934</c:v>
                </c:pt>
                <c:pt idx="42">
                  <c:v>7.7876913081129686</c:v>
                </c:pt>
                <c:pt idx="43">
                  <c:v>7.7081563463800942</c:v>
                </c:pt>
                <c:pt idx="44">
                  <c:v>7.6324383039108801</c:v>
                </c:pt>
                <c:pt idx="45">
                  <c:v>7.5602446729633952</c:v>
                </c:pt>
                <c:pt idx="46">
                  <c:v>7.4913133599713886</c:v>
                </c:pt>
                <c:pt idx="47">
                  <c:v>7.4254087355167222</c:v>
                </c:pt>
                <c:pt idx="48">
                  <c:v>7.3623182941148295</c:v>
                </c:pt>
                <c:pt idx="49">
                  <c:v>7.3018498155175449</c:v>
                </c:pt>
                <c:pt idx="50">
                  <c:v>7.2438289408517598</c:v>
                </c:pt>
                <c:pt idx="51">
                  <c:v>7.1880970937615949</c:v>
                </c:pt>
                <c:pt idx="52">
                  <c:v>7.1345096899508595</c:v>
                </c:pt>
                <c:pt idx="53">
                  <c:v>7.0829345889798851</c:v>
                </c:pt>
                <c:pt idx="54">
                  <c:v>7.0332507504901871</c:v>
                </c:pt>
                <c:pt idx="55">
                  <c:v>6.9853470636888924</c:v>
                </c:pt>
                <c:pt idx="56">
                  <c:v>6.9391213242850256</c:v>
                </c:pt>
                <c:pt idx="57">
                  <c:v>6.8944793374079438</c:v>
                </c:pt>
                <c:pt idx="58">
                  <c:v>6.8513341285678591</c:v>
                </c:pt>
                <c:pt idx="59">
                  <c:v>6.809605247604102</c:v>
                </c:pt>
                <c:pt idx="60">
                  <c:v>6.7692181529373192</c:v>
                </c:pt>
                <c:pt idx="61">
                  <c:v>6.7301036653978255</c:v>
                </c:pt>
                <c:pt idx="62">
                  <c:v>6.69219748252321</c:v>
                </c:pt>
                <c:pt idx="63">
                  <c:v>6.6554397455670449</c:v>
                </c:pt>
                <c:pt idx="64">
                  <c:v>6.6197746525871732</c:v>
                </c:pt>
                <c:pt idx="65">
                  <c:v>6.585150111926767</c:v>
                </c:pt>
                <c:pt idx="66">
                  <c:v>6.5515174311962605</c:v>
                </c:pt>
                <c:pt idx="67">
                  <c:v>6.5188310375355849</c:v>
                </c:pt>
                <c:pt idx="68">
                  <c:v>6.4870482255048287</c:v>
                </c:pt>
                <c:pt idx="69">
                  <c:v>6.4561289294348558</c:v>
                </c:pt>
                <c:pt idx="70">
                  <c:v>6.4260355174814734</c:v>
                </c:pt>
                <c:pt idx="71">
                  <c:v>6.3967326049791708</c:v>
                </c:pt>
                <c:pt idx="72">
                  <c:v>6.3681868849925811</c:v>
                </c:pt>
                <c:pt idx="73">
                  <c:v>6.3403669742236293</c:v>
                </c:pt>
                <c:pt idx="74">
                  <c:v>6.3132432726563907</c:v>
                </c:pt>
                <c:pt idx="75">
                  <c:v>6.2867878355152023</c:v>
                </c:pt>
                <c:pt idx="76">
                  <c:v>6.2609742562794359</c:v>
                </c:pt>
                <c:pt idx="77">
                  <c:v>6.235777559643978</c:v>
                </c:pt>
                <c:pt idx="78">
                  <c:v>6.2111741034413477</c:v>
                </c:pt>
                <c:pt idx="79">
                  <c:v>6.1871414886520606</c:v>
                </c:pt>
                <c:pt idx="80">
                  <c:v>6.1636584767266172</c:v>
                </c:pt>
                <c:pt idx="81">
                  <c:v>6.1407049135272853</c:v>
                </c:pt>
                <c:pt idx="82">
                  <c:v>6.1182616592723225</c:v>
                </c:pt>
                <c:pt idx="83">
                  <c:v>6.0963105239307644</c:v>
                </c:pt>
                <c:pt idx="84">
                  <c:v>6.074834207573633</c:v>
                </c:pt>
                <c:pt idx="85">
                  <c:v>6.0538162452384334</c:v>
                </c:pt>
                <c:pt idx="86">
                  <c:v>6.0332409559088616</c:v>
                </c:pt>
                <c:pt idx="87">
                  <c:v>6.0130933952516541</c:v>
                </c:pt>
                <c:pt idx="88">
                  <c:v>5.9933593117879607</c:v>
                </c:pt>
                <c:pt idx="89">
                  <c:v>5.9740251062081802</c:v>
                </c:pt>
                <c:pt idx="90">
                  <c:v>5.9550777935672903</c:v>
                </c:pt>
                <c:pt idx="91">
                  <c:v>5.9365049681227884</c:v>
                </c:pt>
                <c:pt idx="92">
                  <c:v>5.9182947705996698</c:v>
                </c:pt>
                <c:pt idx="93">
                  <c:v>5.9004358576870244</c:v>
                </c:pt>
                <c:pt idx="94">
                  <c:v>5.8829173735886435</c:v>
                </c:pt>
                <c:pt idx="95">
                  <c:v>5.865728923466234</c:v>
                </c:pt>
                <c:pt idx="96">
                  <c:v>5.8488605486282488</c:v>
                </c:pt>
                <c:pt idx="97">
                  <c:v>5.8323027033303614</c:v>
                </c:pt>
                <c:pt idx="98">
                  <c:v>5.8160462330653564</c:v>
                </c:pt>
                <c:pt idx="99">
                  <c:v>5.8000823542307627</c:v>
                </c:pt>
                <c:pt idx="100">
                  <c:v>5.7844026350721132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6A-0046-933C-658369F4E291}"/>
            </c:ext>
          </c:extLst>
        </c:ser>
        <c:ser>
          <c:idx val="4"/>
          <c:order val="2"/>
          <c:tx>
            <c:v>Potential infiltration (Horton)</c:v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GreenAmpt!$A$17:$A$117</c:f>
              <c:numCache>
                <c:formatCode>General</c:formatCode>
                <c:ptCount val="101"/>
                <c:pt idx="0">
                  <c:v>0</c:v>
                </c:pt>
                <c:pt idx="1">
                  <c:v>1E-3</c:v>
                </c:pt>
                <c:pt idx="2">
                  <c:v>0.02</c:v>
                </c:pt>
                <c:pt idx="3">
                  <c:v>0.04</c:v>
                </c:pt>
                <c:pt idx="4">
                  <c:v>0.06</c:v>
                </c:pt>
                <c:pt idx="5">
                  <c:v>0.08</c:v>
                </c:pt>
                <c:pt idx="6">
                  <c:v>0.1</c:v>
                </c:pt>
                <c:pt idx="7">
                  <c:v>0.12000000000000001</c:v>
                </c:pt>
                <c:pt idx="8">
                  <c:v>0.14000000000000001</c:v>
                </c:pt>
                <c:pt idx="9">
                  <c:v>0.16</c:v>
                </c:pt>
                <c:pt idx="10">
                  <c:v>0.18</c:v>
                </c:pt>
                <c:pt idx="11">
                  <c:v>0.19999999999999998</c:v>
                </c:pt>
                <c:pt idx="12">
                  <c:v>0.21999999999999997</c:v>
                </c:pt>
                <c:pt idx="13">
                  <c:v>0.23999999999999996</c:v>
                </c:pt>
                <c:pt idx="14">
                  <c:v>0.25999999999999995</c:v>
                </c:pt>
                <c:pt idx="15">
                  <c:v>0.27999999999999997</c:v>
                </c:pt>
                <c:pt idx="16">
                  <c:v>0.3</c:v>
                </c:pt>
                <c:pt idx="17">
                  <c:v>0.32</c:v>
                </c:pt>
                <c:pt idx="18">
                  <c:v>0.34</c:v>
                </c:pt>
                <c:pt idx="19">
                  <c:v>0.36000000000000004</c:v>
                </c:pt>
                <c:pt idx="20">
                  <c:v>0.38000000000000006</c:v>
                </c:pt>
                <c:pt idx="21">
                  <c:v>0.40000000000000008</c:v>
                </c:pt>
                <c:pt idx="22">
                  <c:v>0.4200000000000001</c:v>
                </c:pt>
                <c:pt idx="23">
                  <c:v>0.44000000000000011</c:v>
                </c:pt>
                <c:pt idx="24">
                  <c:v>0.46000000000000013</c:v>
                </c:pt>
                <c:pt idx="25">
                  <c:v>0.48000000000000015</c:v>
                </c:pt>
                <c:pt idx="26">
                  <c:v>0.50000000000000011</c:v>
                </c:pt>
                <c:pt idx="27">
                  <c:v>0.52000000000000013</c:v>
                </c:pt>
                <c:pt idx="28">
                  <c:v>0.54000000000000015</c:v>
                </c:pt>
                <c:pt idx="29">
                  <c:v>0.56000000000000016</c:v>
                </c:pt>
                <c:pt idx="30">
                  <c:v>0.58000000000000018</c:v>
                </c:pt>
                <c:pt idx="31">
                  <c:v>0.6000000000000002</c:v>
                </c:pt>
                <c:pt idx="32">
                  <c:v>0.62000000000000022</c:v>
                </c:pt>
                <c:pt idx="33">
                  <c:v>0.64000000000000024</c:v>
                </c:pt>
                <c:pt idx="34">
                  <c:v>0.66000000000000025</c:v>
                </c:pt>
                <c:pt idx="35">
                  <c:v>0.68000000000000027</c:v>
                </c:pt>
                <c:pt idx="36">
                  <c:v>0.70000000000000029</c:v>
                </c:pt>
                <c:pt idx="37">
                  <c:v>0.72000000000000031</c:v>
                </c:pt>
                <c:pt idx="38">
                  <c:v>0.74000000000000032</c:v>
                </c:pt>
                <c:pt idx="39">
                  <c:v>0.76000000000000034</c:v>
                </c:pt>
                <c:pt idx="40">
                  <c:v>0.78000000000000036</c:v>
                </c:pt>
                <c:pt idx="41">
                  <c:v>0.80000000000000038</c:v>
                </c:pt>
                <c:pt idx="42">
                  <c:v>0.8200000000000004</c:v>
                </c:pt>
                <c:pt idx="43">
                  <c:v>0.84000000000000041</c:v>
                </c:pt>
                <c:pt idx="44">
                  <c:v>0.86000000000000043</c:v>
                </c:pt>
                <c:pt idx="45">
                  <c:v>0.88000000000000045</c:v>
                </c:pt>
                <c:pt idx="46">
                  <c:v>0.90000000000000047</c:v>
                </c:pt>
                <c:pt idx="47">
                  <c:v>0.92000000000000048</c:v>
                </c:pt>
                <c:pt idx="48">
                  <c:v>0.9400000000000005</c:v>
                </c:pt>
                <c:pt idx="49">
                  <c:v>0.96000000000000052</c:v>
                </c:pt>
                <c:pt idx="50">
                  <c:v>0.98000000000000054</c:v>
                </c:pt>
                <c:pt idx="51">
                  <c:v>1.0000000000000004</c:v>
                </c:pt>
                <c:pt idx="52">
                  <c:v>1.0200000000000005</c:v>
                </c:pt>
                <c:pt idx="53">
                  <c:v>1.0400000000000005</c:v>
                </c:pt>
                <c:pt idx="54">
                  <c:v>1.0600000000000005</c:v>
                </c:pt>
                <c:pt idx="55">
                  <c:v>1.0800000000000005</c:v>
                </c:pt>
                <c:pt idx="56">
                  <c:v>1.1000000000000005</c:v>
                </c:pt>
                <c:pt idx="57">
                  <c:v>1.1200000000000006</c:v>
                </c:pt>
                <c:pt idx="58">
                  <c:v>1.1400000000000006</c:v>
                </c:pt>
                <c:pt idx="59">
                  <c:v>1.1600000000000006</c:v>
                </c:pt>
                <c:pt idx="60">
                  <c:v>1.1800000000000006</c:v>
                </c:pt>
                <c:pt idx="61">
                  <c:v>1.2000000000000006</c:v>
                </c:pt>
                <c:pt idx="62">
                  <c:v>1.2200000000000006</c:v>
                </c:pt>
                <c:pt idx="63">
                  <c:v>1.2400000000000007</c:v>
                </c:pt>
                <c:pt idx="64">
                  <c:v>1.2600000000000007</c:v>
                </c:pt>
                <c:pt idx="65">
                  <c:v>1.2800000000000007</c:v>
                </c:pt>
                <c:pt idx="66">
                  <c:v>1.3000000000000007</c:v>
                </c:pt>
                <c:pt idx="67">
                  <c:v>1.3200000000000007</c:v>
                </c:pt>
                <c:pt idx="68">
                  <c:v>1.3400000000000007</c:v>
                </c:pt>
                <c:pt idx="69">
                  <c:v>1.3600000000000008</c:v>
                </c:pt>
                <c:pt idx="70">
                  <c:v>1.3800000000000008</c:v>
                </c:pt>
                <c:pt idx="71">
                  <c:v>1.4000000000000008</c:v>
                </c:pt>
                <c:pt idx="72">
                  <c:v>1.4200000000000008</c:v>
                </c:pt>
                <c:pt idx="73">
                  <c:v>1.4400000000000008</c:v>
                </c:pt>
                <c:pt idx="74">
                  <c:v>1.4600000000000009</c:v>
                </c:pt>
                <c:pt idx="75">
                  <c:v>1.4800000000000009</c:v>
                </c:pt>
                <c:pt idx="76">
                  <c:v>1.5000000000000009</c:v>
                </c:pt>
                <c:pt idx="77">
                  <c:v>1.5200000000000009</c:v>
                </c:pt>
                <c:pt idx="78">
                  <c:v>1.5400000000000009</c:v>
                </c:pt>
                <c:pt idx="79">
                  <c:v>1.5600000000000009</c:v>
                </c:pt>
                <c:pt idx="80">
                  <c:v>1.580000000000001</c:v>
                </c:pt>
                <c:pt idx="81">
                  <c:v>1.600000000000001</c:v>
                </c:pt>
                <c:pt idx="82">
                  <c:v>1.620000000000001</c:v>
                </c:pt>
                <c:pt idx="83">
                  <c:v>1.640000000000001</c:v>
                </c:pt>
                <c:pt idx="84">
                  <c:v>1.660000000000001</c:v>
                </c:pt>
                <c:pt idx="85">
                  <c:v>1.680000000000001</c:v>
                </c:pt>
                <c:pt idx="86">
                  <c:v>1.7000000000000011</c:v>
                </c:pt>
                <c:pt idx="87">
                  <c:v>1.7200000000000011</c:v>
                </c:pt>
                <c:pt idx="88">
                  <c:v>1.7400000000000011</c:v>
                </c:pt>
                <c:pt idx="89">
                  <c:v>1.7600000000000011</c:v>
                </c:pt>
                <c:pt idx="90">
                  <c:v>1.7800000000000011</c:v>
                </c:pt>
                <c:pt idx="91">
                  <c:v>1.8000000000000012</c:v>
                </c:pt>
                <c:pt idx="92">
                  <c:v>1.8200000000000012</c:v>
                </c:pt>
                <c:pt idx="93">
                  <c:v>1.8400000000000012</c:v>
                </c:pt>
                <c:pt idx="94">
                  <c:v>1.8600000000000012</c:v>
                </c:pt>
                <c:pt idx="95">
                  <c:v>1.8800000000000012</c:v>
                </c:pt>
                <c:pt idx="96">
                  <c:v>1.9000000000000012</c:v>
                </c:pt>
                <c:pt idx="97">
                  <c:v>1.9200000000000013</c:v>
                </c:pt>
                <c:pt idx="98">
                  <c:v>1.9400000000000013</c:v>
                </c:pt>
                <c:pt idx="99">
                  <c:v>1.9600000000000013</c:v>
                </c:pt>
                <c:pt idx="100">
                  <c:v>1.9800000000000013</c:v>
                </c:pt>
              </c:numCache>
            </c:numRef>
          </c:xVal>
          <c:yVal>
            <c:numRef>
              <c:f>GreenAmpt!$G$17:$G$117</c:f>
              <c:numCache>
                <c:formatCode>0.00E+00</c:formatCode>
                <c:ptCount val="101"/>
                <c:pt idx="0" formatCode="General">
                  <c:v>30</c:v>
                </c:pt>
                <c:pt idx="1">
                  <c:v>30</c:v>
                </c:pt>
                <c:pt idx="2">
                  <c:v>29.921278141828644</c:v>
                </c:pt>
                <c:pt idx="3">
                  <c:v>28.469571942594055</c:v>
                </c:pt>
                <c:pt idx="4">
                  <c:v>27.028269076926897</c:v>
                </c:pt>
                <c:pt idx="5">
                  <c:v>25.670901155888227</c:v>
                </c:pt>
                <c:pt idx="6">
                  <c:v>24.392580188829026</c:v>
                </c:pt>
                <c:pt idx="7">
                  <c:v>23.188702839515546</c:v>
                </c:pt>
                <c:pt idx="8">
                  <c:v>22.054933849146696</c:v>
                </c:pt>
                <c:pt idx="9">
                  <c:v>20.987190424739691</c:v>
                </c:pt>
                <c:pt idx="10">
                  <c:v>19.981627536665382</c:v>
                </c:pt>
                <c:pt idx="11">
                  <c:v>19.03462407238845</c:v>
                </c:pt>
                <c:pt idx="12">
                  <c:v>18.142769796551015</c:v>
                </c:pt>
                <c:pt idx="13">
                  <c:v>17.302853070441859</c:v>
                </c:pt>
                <c:pt idx="14">
                  <c:v>16.511849286628056</c:v>
                </c:pt>
                <c:pt idx="15">
                  <c:v>15.766909977101278</c:v>
                </c:pt>
                <c:pt idx="16">
                  <c:v>15.065352555716217</c:v>
                </c:pt>
                <c:pt idx="17">
                  <c:v>14.404650657982947</c:v>
                </c:pt>
                <c:pt idx="18">
                  <c:v>13.782425043425945</c:v>
                </c:pt>
                <c:pt idx="19">
                  <c:v>13.1964350277485</c:v>
                </c:pt>
                <c:pt idx="20">
                  <c:v>12.644570413949001</c:v>
                </c:pt>
                <c:pt idx="21">
                  <c:v>12.124843893332466</c:v>
                </c:pt>
                <c:pt idx="22">
                  <c:v>11.635383889052671</c:v>
                </c:pt>
                <c:pt idx="23">
                  <c:v>11.174427816413964</c:v>
                </c:pt>
                <c:pt idx="24">
                  <c:v>10.740315735662547</c:v>
                </c:pt>
                <c:pt idx="25">
                  <c:v>10.331484374410399</c:v>
                </c:pt>
                <c:pt idx="26">
                  <c:v>9.9464614981661583</c:v>
                </c:pt>
                <c:pt idx="27">
                  <c:v>9.5838606087007339</c:v>
                </c:pt>
                <c:pt idx="28">
                  <c:v>9.2423759511560952</c:v>
                </c:pt>
                <c:pt idx="29">
                  <c:v>8.9207778119173913</c:v>
                </c:pt>
                <c:pt idx="30">
                  <c:v>8.6179080903156908</c:v>
                </c:pt>
                <c:pt idx="31">
                  <c:v>8.3326761282146755</c:v>
                </c:pt>
                <c:pt idx="32">
                  <c:v>8.0640547824632911</c:v>
                </c:pt>
                <c:pt idx="33">
                  <c:v>7.8110767260709668</c:v>
                </c:pt>
                <c:pt idx="34">
                  <c:v>7.5728309647855987</c:v>
                </c:pt>
                <c:pt idx="35">
                  <c:v>7.3484595565302602</c:v>
                </c:pt>
                <c:pt idx="36">
                  <c:v>7.1371545218850301</c:v>
                </c:pt>
                <c:pt idx="37">
                  <c:v>6.9381549344883613</c:v>
                </c:pt>
                <c:pt idx="38">
                  <c:v>6.7507441808802806</c:v>
                </c:pt>
                <c:pt idx="39">
                  <c:v>6.5742473799198926</c:v>
                </c:pt>
                <c:pt idx="40">
                  <c:v>6.4080289524843224</c:v>
                </c:pt>
                <c:pt idx="41">
                  <c:v>6.2514903326973545</c:v>
                </c:pt>
                <c:pt idx="42">
                  <c:v>6.1040678124457575</c:v>
                </c:pt>
                <c:pt idx="43">
                  <c:v>5.9652305114211988</c:v>
                </c:pt>
                <c:pt idx="44">
                  <c:v>5.8344784653777104</c:v>
                </c:pt>
                <c:pt idx="45">
                  <c:v>5.7113408257203764</c:v>
                </c:pt>
                <c:pt idx="46">
                  <c:v>5.5953741639418233</c:v>
                </c:pt>
                <c:pt idx="47">
                  <c:v>5.4861608748006212</c:v>
                </c:pt>
                <c:pt idx="48">
                  <c:v>5.3833076724913553</c:v>
                </c:pt>
                <c:pt idx="49">
                  <c:v>5.2864441743909243</c:v>
                </c:pt>
                <c:pt idx="50">
                  <c:v>5.195221567281032</c:v>
                </c:pt>
                <c:pt idx="51">
                  <c:v>5.1093113512438455</c:v>
                </c:pt>
                <c:pt idx="52">
                  <c:v>5.0284041567074631</c:v>
                </c:pt>
                <c:pt idx="53">
                  <c:v>4.9522086303812962</c:v>
                </c:pt>
                <c:pt idx="54">
                  <c:v>4.8804503860695272</c:v>
                </c:pt>
                <c:pt idx="55">
                  <c:v>4.8128710165844293</c:v>
                </c:pt>
                <c:pt idx="56">
                  <c:v>4.7492271632013789</c:v>
                </c:pt>
                <c:pt idx="57">
                  <c:v>4.6892896393045858</c:v>
                </c:pt>
                <c:pt idx="58">
                  <c:v>4.6328426050677276</c:v>
                </c:pt>
                <c:pt idx="59">
                  <c:v>4.5796827901974391</c:v>
                </c:pt>
                <c:pt idx="60">
                  <c:v>4.5296187619406973</c:v>
                </c:pt>
                <c:pt idx="61">
                  <c:v>4.4824702357201378</c:v>
                </c:pt>
                <c:pt idx="62">
                  <c:v>4.4380674259148476</c:v>
                </c:pt>
                <c:pt idx="63">
                  <c:v>4.3962504344487385</c:v>
                </c:pt>
                <c:pt idx="64">
                  <c:v>4.3568686749847618</c:v>
                </c:pt>
                <c:pt idx="65">
                  <c:v>4.319780330651442</c:v>
                </c:pt>
                <c:pt idx="66">
                  <c:v>4.284851843348962</c:v>
                </c:pt>
                <c:pt idx="67">
                  <c:v>4.2519574327957388</c:v>
                </c:pt>
                <c:pt idx="68">
                  <c:v>4.2209786435835532</c:v>
                </c:pt>
                <c:pt idx="69">
                  <c:v>4.1918039186101339</c:v>
                </c:pt>
                <c:pt idx="70">
                  <c:v>4.1643281973530941</c:v>
                </c:pt>
                <c:pt idx="71">
                  <c:v>4.1384525375385666</c:v>
                </c:pt>
                <c:pt idx="72">
                  <c:v>4.1140837588421535</c:v>
                </c:pt>
                <c:pt idx="73">
                  <c:v>4.0911341073391085</c:v>
                </c:pt>
                <c:pt idx="74">
                  <c:v>4.0695209394954217</c:v>
                </c:pt>
                <c:pt idx="75">
                  <c:v>4.0491664245618342</c:v>
                </c:pt>
                <c:pt idx="76">
                  <c:v>4.0299972642990705</c:v>
                </c:pt>
                <c:pt idx="77">
                  <c:v>4.0119444290250073</c:v>
                </c:pt>
                <c:pt idx="78">
                  <c:v>3.9949429090332558</c:v>
                </c:pt>
                <c:pt idx="79">
                  <c:v>3.9789314804880007</c:v>
                </c:pt>
                <c:pt idx="80">
                  <c:v>3.9638524849520609</c:v>
                </c:pt>
                <c:pt idx="81">
                  <c:v>3.9496516217542377</c:v>
                </c:pt>
                <c:pt idx="82">
                  <c:v>3.936277752448246</c:v>
                </c:pt>
                <c:pt idx="83">
                  <c:v>3.923682716659072</c:v>
                </c:pt>
                <c:pt idx="84">
                  <c:v>3.9118211586536034</c:v>
                </c:pt>
                <c:pt idx="85">
                  <c:v>3.9006503640110011</c:v>
                </c:pt>
                <c:pt idx="86">
                  <c:v>3.8901301058046451</c:v>
                </c:pt>
                <c:pt idx="87">
                  <c:v>3.8802224997417505</c:v>
                </c:pt>
                <c:pt idx="88">
                  <c:v>3.8708918677389921</c:v>
                </c:pt>
                <c:pt idx="89">
                  <c:v>3.8621046094428682</c:v>
                </c:pt>
                <c:pt idx="90">
                  <c:v>3.8538290812321345</c:v>
                </c:pt>
                <c:pt idx="91">
                  <c:v>3.8460354822665899</c:v>
                </c:pt>
                <c:pt idx="92">
                  <c:v>3.8386957471718608</c:v>
                </c:pt>
                <c:pt idx="93">
                  <c:v>3.8317834449737411</c:v>
                </c:pt>
                <c:pt idx="94">
                  <c:v>3.825273683918136</c:v>
                </c:pt>
                <c:pt idx="95">
                  <c:v>3.8191430218338591</c:v>
                </c:pt>
                <c:pt idx="96">
                  <c:v>3.8133693817154972</c:v>
                </c:pt>
                <c:pt idx="97">
                  <c:v>3.8079319722223448</c:v>
                </c:pt>
                <c:pt idx="98">
                  <c:v>3.8028112128071196</c:v>
                </c:pt>
                <c:pt idx="99">
                  <c:v>3.7979886632048432</c:v>
                </c:pt>
                <c:pt idx="100">
                  <c:v>3.7934469570279683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D6A-0046-933C-658369F4E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1612496"/>
        <c:axId val="730641520"/>
      </c:scatterChart>
      <c:valAx>
        <c:axId val="2011612496"/>
        <c:scaling>
          <c:orientation val="minMax"/>
          <c:max val="1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641520"/>
        <c:crosses val="autoZero"/>
        <c:crossBetween val="midCat"/>
      </c:valAx>
      <c:valAx>
        <c:axId val="730641520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Rate (mm/hr)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612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685870296363705"/>
          <c:y val="0.13490976939867877"/>
          <c:w val="0.25098049301626241"/>
          <c:h val="0.15007052755185107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101600</xdr:colOff>
      <xdr:row>25</xdr:row>
      <xdr:rowOff>152400</xdr:rowOff>
    </xdr:from>
    <xdr:to>
      <xdr:col>21</xdr:col>
      <xdr:colOff>660400</xdr:colOff>
      <xdr:row>55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31818E-C2A9-DC73-7B2B-8CEB11C73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57150</xdr:colOff>
      <xdr:row>25</xdr:row>
      <xdr:rowOff>120650</xdr:rowOff>
    </xdr:from>
    <xdr:to>
      <xdr:col>27</xdr:col>
      <xdr:colOff>596900</xdr:colOff>
      <xdr:row>55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AC3834-EBE7-82D0-0417-72AC5FE75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622300</xdr:colOff>
      <xdr:row>25</xdr:row>
      <xdr:rowOff>165100</xdr:rowOff>
    </xdr:from>
    <xdr:to>
      <xdr:col>13</xdr:col>
      <xdr:colOff>355600</xdr:colOff>
      <xdr:row>60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75B565-1FBA-3549-8F2E-6292D8FA32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26</xdr:row>
      <xdr:rowOff>0</xdr:rowOff>
    </xdr:from>
    <xdr:to>
      <xdr:col>21</xdr:col>
      <xdr:colOff>25400</xdr:colOff>
      <xdr:row>56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F09E4E-8C33-2A44-BA32-D4D92D791C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0.33398</cdr:x>
      <cdr:y>0.16985</cdr:y>
    </cdr:from>
    <cdr:to>
      <cdr:x>0.49023</cdr:x>
      <cdr:y>0.22081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BE38E05-F148-7B01-781B-F9CA146102DF}"/>
            </a:ext>
          </a:extLst>
        </cdr:cNvPr>
        <cdr:cNvSpPr txBox="1"/>
      </cdr:nvSpPr>
      <cdr:spPr>
        <a:xfrm xmlns:a="http://schemas.openxmlformats.org/drawingml/2006/main">
          <a:off x="2171700" y="1016000"/>
          <a:ext cx="1016000" cy="3048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kern="1200"/>
            <a:t>Wilting point</a:t>
          </a:r>
        </a:p>
      </cdr:txBody>
    </cdr:sp>
  </cdr:relSizeAnchor>
  <cdr:relSizeAnchor xmlns:cdr="http://schemas.openxmlformats.org/drawingml/2006/chartDrawing">
    <cdr:from>
      <cdr:x>0.63672</cdr:x>
      <cdr:y>0.45223</cdr:y>
    </cdr:from>
    <cdr:to>
      <cdr:x>0.8418</cdr:x>
      <cdr:y>0.49894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AE250027-8476-28A8-1C1C-E06A4051C26A}"/>
            </a:ext>
          </a:extLst>
        </cdr:cNvPr>
        <cdr:cNvSpPr txBox="1"/>
      </cdr:nvSpPr>
      <cdr:spPr>
        <a:xfrm xmlns:a="http://schemas.openxmlformats.org/drawingml/2006/main">
          <a:off x="4140188" y="2705126"/>
          <a:ext cx="1333512" cy="27937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/>
            <a:t>Field capacity</a:t>
          </a:r>
        </a:p>
      </cdr:txBody>
    </cdr:sp>
  </cdr:relSizeAnchor>
  <cdr:relSizeAnchor xmlns:cdr="http://schemas.openxmlformats.org/drawingml/2006/chartDrawing">
    <cdr:from>
      <cdr:x>0.31836</cdr:x>
      <cdr:y>0.76221</cdr:y>
    </cdr:from>
    <cdr:to>
      <cdr:x>0.49023</cdr:x>
      <cdr:y>0.84289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AE250027-8476-28A8-1C1C-E06A4051C26A}"/>
            </a:ext>
          </a:extLst>
        </cdr:cNvPr>
        <cdr:cNvSpPr txBox="1"/>
      </cdr:nvSpPr>
      <cdr:spPr>
        <a:xfrm xmlns:a="http://schemas.openxmlformats.org/drawingml/2006/main">
          <a:off x="2070072" y="4559315"/>
          <a:ext cx="1117632" cy="48260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/>
            <a:t>Residual water</a:t>
          </a:r>
          <a:r>
            <a:rPr lang="en-US" sz="1200" kern="1200" baseline="0"/>
            <a:t> content</a:t>
          </a:r>
          <a:endParaRPr lang="en-US" sz="1200" kern="1200"/>
        </a:p>
      </cdr:txBody>
    </cdr:sp>
  </cdr:relSizeAnchor>
  <cdr:relSizeAnchor xmlns:cdr="http://schemas.openxmlformats.org/drawingml/2006/chartDrawing">
    <cdr:from>
      <cdr:x>0.67969</cdr:x>
      <cdr:y>0.61571</cdr:y>
    </cdr:from>
    <cdr:to>
      <cdr:x>0.78711</cdr:x>
      <cdr:y>0.65817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A22592E2-446A-9EF8-F4A3-01CA011DA06C}"/>
            </a:ext>
          </a:extLst>
        </cdr:cNvPr>
        <cdr:cNvSpPr txBox="1"/>
      </cdr:nvSpPr>
      <cdr:spPr>
        <a:xfrm xmlns:a="http://schemas.openxmlformats.org/drawingml/2006/main">
          <a:off x="4419628" y="3682975"/>
          <a:ext cx="698472" cy="25402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/>
            <a:t>Air entry</a:t>
          </a:r>
        </a:p>
      </cdr:txBody>
    </cdr:sp>
  </cdr:relSizeAnchor>
  <cdr:relSizeAnchor xmlns:cdr="http://schemas.openxmlformats.org/drawingml/2006/chartDrawing">
    <cdr:from>
      <cdr:x>0.33398</cdr:x>
      <cdr:y>0.16985</cdr:y>
    </cdr:from>
    <cdr:to>
      <cdr:x>0.49023</cdr:x>
      <cdr:y>0.22081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BBE38E05-F148-7B01-781B-F9CA146102DF}"/>
            </a:ext>
          </a:extLst>
        </cdr:cNvPr>
        <cdr:cNvSpPr txBox="1"/>
      </cdr:nvSpPr>
      <cdr:spPr>
        <a:xfrm xmlns:a="http://schemas.openxmlformats.org/drawingml/2006/main">
          <a:off x="2171700" y="1016000"/>
          <a:ext cx="1016000" cy="3048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kern="1200"/>
            <a:t>Wilting point</a:t>
          </a:r>
        </a:p>
      </cdr:txBody>
    </cdr:sp>
  </cdr:relSizeAnchor>
  <cdr:relSizeAnchor xmlns:cdr="http://schemas.openxmlformats.org/drawingml/2006/chartDrawing">
    <cdr:from>
      <cdr:x>0.63672</cdr:x>
      <cdr:y>0.45223</cdr:y>
    </cdr:from>
    <cdr:to>
      <cdr:x>0.8418</cdr:x>
      <cdr:y>0.49894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AE250027-8476-28A8-1C1C-E06A4051C26A}"/>
            </a:ext>
          </a:extLst>
        </cdr:cNvPr>
        <cdr:cNvSpPr txBox="1"/>
      </cdr:nvSpPr>
      <cdr:spPr>
        <a:xfrm xmlns:a="http://schemas.openxmlformats.org/drawingml/2006/main">
          <a:off x="4140188" y="2705126"/>
          <a:ext cx="1333512" cy="27937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/>
            <a:t>Field capacity</a:t>
          </a:r>
        </a:p>
      </cdr:txBody>
    </cdr:sp>
  </cdr:relSizeAnchor>
  <cdr:relSizeAnchor xmlns:cdr="http://schemas.openxmlformats.org/drawingml/2006/chartDrawing">
    <cdr:from>
      <cdr:x>0.31836</cdr:x>
      <cdr:y>0.76221</cdr:y>
    </cdr:from>
    <cdr:to>
      <cdr:x>0.49023</cdr:x>
      <cdr:y>0.84289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AE250027-8476-28A8-1C1C-E06A4051C26A}"/>
            </a:ext>
          </a:extLst>
        </cdr:cNvPr>
        <cdr:cNvSpPr txBox="1"/>
      </cdr:nvSpPr>
      <cdr:spPr>
        <a:xfrm xmlns:a="http://schemas.openxmlformats.org/drawingml/2006/main">
          <a:off x="2070072" y="4559315"/>
          <a:ext cx="1117632" cy="48260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/>
            <a:t>Residual water</a:t>
          </a:r>
          <a:r>
            <a:rPr lang="en-US" sz="1200" kern="1200" baseline="0"/>
            <a:t> content</a:t>
          </a:r>
          <a:endParaRPr lang="en-US" sz="1200" kern="1200"/>
        </a:p>
      </cdr:txBody>
    </cdr:sp>
  </cdr:relSizeAnchor>
  <cdr:relSizeAnchor xmlns:cdr="http://schemas.openxmlformats.org/drawingml/2006/chartDrawing">
    <cdr:from>
      <cdr:x>0.67969</cdr:x>
      <cdr:y>0.61571</cdr:y>
    </cdr:from>
    <cdr:to>
      <cdr:x>0.78711</cdr:x>
      <cdr:y>0.65817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A22592E2-446A-9EF8-F4A3-01CA011DA06C}"/>
            </a:ext>
          </a:extLst>
        </cdr:cNvPr>
        <cdr:cNvSpPr txBox="1"/>
      </cdr:nvSpPr>
      <cdr:spPr>
        <a:xfrm xmlns:a="http://schemas.openxmlformats.org/drawingml/2006/main">
          <a:off x="4419628" y="3682975"/>
          <a:ext cx="698472" cy="25402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/>
            <a:t>Air entry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0.33398</cdr:x>
      <cdr:y>0.16985</cdr:y>
    </cdr:from>
    <cdr:to>
      <cdr:x>0.49023</cdr:x>
      <cdr:y>0.22081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BE38E05-F148-7B01-781B-F9CA146102DF}"/>
            </a:ext>
          </a:extLst>
        </cdr:cNvPr>
        <cdr:cNvSpPr txBox="1"/>
      </cdr:nvSpPr>
      <cdr:spPr>
        <a:xfrm xmlns:a="http://schemas.openxmlformats.org/drawingml/2006/main">
          <a:off x="2171700" y="1016000"/>
          <a:ext cx="1016000" cy="3048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kern="1200"/>
            <a:t>Wilting point</a:t>
          </a:r>
        </a:p>
      </cdr:txBody>
    </cdr:sp>
  </cdr:relSizeAnchor>
  <cdr:relSizeAnchor xmlns:cdr="http://schemas.openxmlformats.org/drawingml/2006/chartDrawing">
    <cdr:from>
      <cdr:x>0.63672</cdr:x>
      <cdr:y>0.45223</cdr:y>
    </cdr:from>
    <cdr:to>
      <cdr:x>0.8418</cdr:x>
      <cdr:y>0.49894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AE250027-8476-28A8-1C1C-E06A4051C26A}"/>
            </a:ext>
          </a:extLst>
        </cdr:cNvPr>
        <cdr:cNvSpPr txBox="1"/>
      </cdr:nvSpPr>
      <cdr:spPr>
        <a:xfrm xmlns:a="http://schemas.openxmlformats.org/drawingml/2006/main">
          <a:off x="4140188" y="2705126"/>
          <a:ext cx="1333512" cy="27937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/>
            <a:t>Field capacity</a:t>
          </a:r>
        </a:p>
      </cdr:txBody>
    </cdr:sp>
  </cdr:relSizeAnchor>
  <cdr:relSizeAnchor xmlns:cdr="http://schemas.openxmlformats.org/drawingml/2006/chartDrawing">
    <cdr:from>
      <cdr:x>0.31836</cdr:x>
      <cdr:y>0.76221</cdr:y>
    </cdr:from>
    <cdr:to>
      <cdr:x>0.49023</cdr:x>
      <cdr:y>0.84289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AE250027-8476-28A8-1C1C-E06A4051C26A}"/>
            </a:ext>
          </a:extLst>
        </cdr:cNvPr>
        <cdr:cNvSpPr txBox="1"/>
      </cdr:nvSpPr>
      <cdr:spPr>
        <a:xfrm xmlns:a="http://schemas.openxmlformats.org/drawingml/2006/main">
          <a:off x="2070072" y="4559315"/>
          <a:ext cx="1117632" cy="48260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/>
            <a:t>Residual water</a:t>
          </a:r>
          <a:r>
            <a:rPr lang="en-US" sz="1200" kern="1200" baseline="0"/>
            <a:t> content</a:t>
          </a:r>
          <a:endParaRPr lang="en-US" sz="1200" kern="1200"/>
        </a:p>
      </cdr:txBody>
    </cdr:sp>
  </cdr:relSizeAnchor>
  <cdr:relSizeAnchor xmlns:cdr="http://schemas.openxmlformats.org/drawingml/2006/chartDrawing">
    <cdr:from>
      <cdr:x>0.67969</cdr:x>
      <cdr:y>0.61571</cdr:y>
    </cdr:from>
    <cdr:to>
      <cdr:x>0.78711</cdr:x>
      <cdr:y>0.65817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A22592E2-446A-9EF8-F4A3-01CA011DA06C}"/>
            </a:ext>
          </a:extLst>
        </cdr:cNvPr>
        <cdr:cNvSpPr txBox="1"/>
      </cdr:nvSpPr>
      <cdr:spPr>
        <a:xfrm xmlns:a="http://schemas.openxmlformats.org/drawingml/2006/main">
          <a:off x="4419628" y="3682975"/>
          <a:ext cx="698472" cy="25402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/>
            <a:t>Air entry</a:t>
          </a:r>
        </a:p>
      </cdr:txBody>
    </cdr:sp>
  </cdr:relSizeAnchor>
  <cdr:relSizeAnchor xmlns:cdr="http://schemas.openxmlformats.org/drawingml/2006/chartDrawing">
    <cdr:from>
      <cdr:x>0.33398</cdr:x>
      <cdr:y>0.16985</cdr:y>
    </cdr:from>
    <cdr:to>
      <cdr:x>0.49023</cdr:x>
      <cdr:y>0.22081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BBE38E05-F148-7B01-781B-F9CA146102DF}"/>
            </a:ext>
          </a:extLst>
        </cdr:cNvPr>
        <cdr:cNvSpPr txBox="1"/>
      </cdr:nvSpPr>
      <cdr:spPr>
        <a:xfrm xmlns:a="http://schemas.openxmlformats.org/drawingml/2006/main">
          <a:off x="2171700" y="1016000"/>
          <a:ext cx="1016000" cy="3048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kern="1200"/>
            <a:t>Wilting point</a:t>
          </a:r>
        </a:p>
      </cdr:txBody>
    </cdr:sp>
  </cdr:relSizeAnchor>
  <cdr:relSizeAnchor xmlns:cdr="http://schemas.openxmlformats.org/drawingml/2006/chartDrawing">
    <cdr:from>
      <cdr:x>0.63672</cdr:x>
      <cdr:y>0.45223</cdr:y>
    </cdr:from>
    <cdr:to>
      <cdr:x>0.8418</cdr:x>
      <cdr:y>0.49894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AE250027-8476-28A8-1C1C-E06A4051C26A}"/>
            </a:ext>
          </a:extLst>
        </cdr:cNvPr>
        <cdr:cNvSpPr txBox="1"/>
      </cdr:nvSpPr>
      <cdr:spPr>
        <a:xfrm xmlns:a="http://schemas.openxmlformats.org/drawingml/2006/main">
          <a:off x="4140188" y="2705126"/>
          <a:ext cx="1333512" cy="27937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/>
            <a:t>Field capacity</a:t>
          </a:r>
        </a:p>
      </cdr:txBody>
    </cdr:sp>
  </cdr:relSizeAnchor>
  <cdr:relSizeAnchor xmlns:cdr="http://schemas.openxmlformats.org/drawingml/2006/chartDrawing">
    <cdr:from>
      <cdr:x>0.31836</cdr:x>
      <cdr:y>0.76221</cdr:y>
    </cdr:from>
    <cdr:to>
      <cdr:x>0.49023</cdr:x>
      <cdr:y>0.84289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AE250027-8476-28A8-1C1C-E06A4051C26A}"/>
            </a:ext>
          </a:extLst>
        </cdr:cNvPr>
        <cdr:cNvSpPr txBox="1"/>
      </cdr:nvSpPr>
      <cdr:spPr>
        <a:xfrm xmlns:a="http://schemas.openxmlformats.org/drawingml/2006/main">
          <a:off x="2070072" y="4559315"/>
          <a:ext cx="1117632" cy="48260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/>
            <a:t>Residual water</a:t>
          </a:r>
          <a:r>
            <a:rPr lang="en-US" sz="1200" kern="1200" baseline="0"/>
            <a:t> content</a:t>
          </a:r>
          <a:endParaRPr lang="en-US" sz="1200" kern="1200"/>
        </a:p>
      </cdr:txBody>
    </cdr:sp>
  </cdr:relSizeAnchor>
  <cdr:relSizeAnchor xmlns:cdr="http://schemas.openxmlformats.org/drawingml/2006/chartDrawing">
    <cdr:from>
      <cdr:x>0.67969</cdr:x>
      <cdr:y>0.61571</cdr:y>
    </cdr:from>
    <cdr:to>
      <cdr:x>0.78711</cdr:x>
      <cdr:y>0.65817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A22592E2-446A-9EF8-F4A3-01CA011DA06C}"/>
            </a:ext>
          </a:extLst>
        </cdr:cNvPr>
        <cdr:cNvSpPr txBox="1"/>
      </cdr:nvSpPr>
      <cdr:spPr>
        <a:xfrm xmlns:a="http://schemas.openxmlformats.org/drawingml/2006/main">
          <a:off x="4419628" y="3682975"/>
          <a:ext cx="698472" cy="25402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/>
            <a:t>Air entry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787400</xdr:colOff>
      <xdr:row>2</xdr:row>
      <xdr:rowOff>6350</xdr:rowOff>
    </xdr:from>
    <xdr:to>
      <xdr:col>20</xdr:col>
      <xdr:colOff>114300</xdr:colOff>
      <xdr:row>36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BE70FD-2BE8-6AF8-6D9D-36AE2F1EDE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673100</xdr:colOff>
      <xdr:row>37</xdr:row>
      <xdr:rowOff>76200</xdr:rowOff>
    </xdr:from>
    <xdr:to>
      <xdr:col>20</xdr:col>
      <xdr:colOff>0</xdr:colOff>
      <xdr:row>71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A66137-CD6E-4842-AC79-3A21E11286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2BE41-C6A3-7A4A-AD0C-9B5BBD6BCE93}">
  <dimension ref="A1:AC52"/>
  <sheetViews>
    <sheetView topLeftCell="I16" workbookViewId="0">
      <selection activeCell="AC53" sqref="AC53"/>
    </sheetView>
  </sheetViews>
  <sheetFormatPr baseColWidth="10" defaultRowHeight="16" x14ac:dyDescent="0.2"/>
  <cols>
    <col min="1" max="1" width="14" customWidth="1"/>
    <col min="2" max="4" width="12.83203125" customWidth="1"/>
    <col min="5" max="5" width="15.5" customWidth="1"/>
    <col min="6" max="7" width="12.83203125" customWidth="1"/>
    <col min="8" max="8" width="5" customWidth="1"/>
    <col min="9" max="12" width="13.33203125" customWidth="1"/>
    <col min="14" max="14" width="5.5" customWidth="1"/>
    <col min="17" max="17" width="12" customWidth="1"/>
    <col min="19" max="19" width="11.83203125" customWidth="1"/>
  </cols>
  <sheetData>
    <row r="1" spans="1:29" x14ac:dyDescent="0.2">
      <c r="A1" t="s">
        <v>0</v>
      </c>
    </row>
    <row r="2" spans="1:29" x14ac:dyDescent="0.2">
      <c r="A2" s="1">
        <v>46235</v>
      </c>
      <c r="O2" t="s">
        <v>31</v>
      </c>
      <c r="AB2" s="3"/>
      <c r="AC2" s="3"/>
    </row>
    <row r="3" spans="1:29" x14ac:dyDescent="0.2">
      <c r="A3" t="s">
        <v>1</v>
      </c>
      <c r="AB3" s="3"/>
      <c r="AC3" s="3" t="s">
        <v>11</v>
      </c>
    </row>
    <row r="4" spans="1:29" x14ac:dyDescent="0.2">
      <c r="AB4" s="3"/>
      <c r="AC4" s="3"/>
    </row>
    <row r="5" spans="1:29" x14ac:dyDescent="0.2">
      <c r="B5" s="2" t="s">
        <v>3</v>
      </c>
      <c r="C5" s="2" t="s">
        <v>4</v>
      </c>
      <c r="D5" s="2" t="s">
        <v>54</v>
      </c>
      <c r="E5" s="2" t="s">
        <v>3</v>
      </c>
      <c r="F5" s="2" t="s">
        <v>4</v>
      </c>
      <c r="G5" s="2" t="s">
        <v>54</v>
      </c>
      <c r="AB5" s="3"/>
      <c r="AC5" s="3"/>
    </row>
    <row r="6" spans="1:29" x14ac:dyDescent="0.2">
      <c r="B6" s="17" t="s">
        <v>23</v>
      </c>
      <c r="C6" s="17"/>
      <c r="D6" s="17"/>
      <c r="E6" s="17" t="s">
        <v>29</v>
      </c>
      <c r="F6" s="17"/>
      <c r="G6" s="17"/>
      <c r="AB6" s="3"/>
      <c r="AC6" s="3"/>
    </row>
    <row r="7" spans="1:29" x14ac:dyDescent="0.2">
      <c r="A7" t="s">
        <v>13</v>
      </c>
      <c r="B7">
        <v>0.435</v>
      </c>
      <c r="C7">
        <v>0.435</v>
      </c>
      <c r="D7">
        <v>0.435</v>
      </c>
      <c r="E7">
        <v>0.49199999999999999</v>
      </c>
      <c r="F7">
        <v>0.49199999999999999</v>
      </c>
      <c r="G7">
        <v>0.49199999999999999</v>
      </c>
      <c r="AB7" s="3"/>
      <c r="AC7" s="3"/>
    </row>
    <row r="8" spans="1:29" x14ac:dyDescent="0.2">
      <c r="A8" t="s">
        <v>44</v>
      </c>
      <c r="B8">
        <v>21.8</v>
      </c>
      <c r="C8">
        <v>21.8</v>
      </c>
      <c r="E8">
        <v>49</v>
      </c>
      <c r="F8">
        <v>49</v>
      </c>
      <c r="O8" s="4"/>
      <c r="P8" s="4"/>
      <c r="AB8" s="3"/>
      <c r="AC8" s="3"/>
    </row>
    <row r="9" spans="1:29" x14ac:dyDescent="0.2">
      <c r="A9" t="s">
        <v>5</v>
      </c>
      <c r="B9">
        <v>3.9</v>
      </c>
      <c r="C9" s="5">
        <v>4.9000000000000004</v>
      </c>
      <c r="E9">
        <v>4.4000000000000004</v>
      </c>
      <c r="F9" s="5">
        <v>10.4</v>
      </c>
      <c r="J9" s="17" t="s">
        <v>23</v>
      </c>
      <c r="K9" s="17"/>
      <c r="L9" s="17" t="s">
        <v>29</v>
      </c>
      <c r="M9" s="17"/>
      <c r="N9" s="2"/>
      <c r="AB9" s="3"/>
      <c r="AC9" s="3" t="s">
        <v>20</v>
      </c>
    </row>
    <row r="10" spans="1:29" x14ac:dyDescent="0.2">
      <c r="A10" t="s">
        <v>7</v>
      </c>
      <c r="B10">
        <v>0.06</v>
      </c>
      <c r="C10">
        <v>0.06</v>
      </c>
      <c r="D10">
        <v>0.06</v>
      </c>
      <c r="E10">
        <v>0.24099999999999999</v>
      </c>
      <c r="F10">
        <v>0.24099999999999999</v>
      </c>
      <c r="G10">
        <v>0.24099999999999999</v>
      </c>
      <c r="I10" t="s">
        <v>13</v>
      </c>
      <c r="J10">
        <v>0.435</v>
      </c>
      <c r="K10">
        <v>0.435</v>
      </c>
      <c r="L10">
        <v>0.49199999999999999</v>
      </c>
      <c r="M10">
        <v>0.49199999999999999</v>
      </c>
      <c r="AB10" s="3"/>
      <c r="AC10" s="3"/>
    </row>
    <row r="11" spans="1:29" x14ac:dyDescent="0.2">
      <c r="A11" t="s">
        <v>55</v>
      </c>
      <c r="D11">
        <v>2.5000000000000001E-2</v>
      </c>
      <c r="G11">
        <v>0.01</v>
      </c>
      <c r="I11" t="s">
        <v>33</v>
      </c>
      <c r="J11" s="4">
        <v>3.47E-3</v>
      </c>
      <c r="K11" s="4">
        <v>3.47E-3</v>
      </c>
      <c r="L11" s="4">
        <v>1.03E-4</v>
      </c>
      <c r="M11" s="4">
        <v>1.03E-4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 t="s">
        <v>8</v>
      </c>
      <c r="AA11" s="3"/>
      <c r="AB11" s="3"/>
      <c r="AC11" s="3">
        <v>4.5999999999999999E-2</v>
      </c>
    </row>
    <row r="12" spans="1:29" x14ac:dyDescent="0.2">
      <c r="A12" t="s">
        <v>56</v>
      </c>
      <c r="D12">
        <f>1-1/D13</f>
        <v>0.23076923076923084</v>
      </c>
      <c r="G12">
        <f>1-1/G13</f>
        <v>0.23076923076923084</v>
      </c>
      <c r="I12" t="s">
        <v>32</v>
      </c>
      <c r="J12">
        <f>2*B9+3</f>
        <v>10.8</v>
      </c>
      <c r="K12">
        <f>2*C9+3</f>
        <v>12.8</v>
      </c>
      <c r="L12">
        <f>2*E9+3</f>
        <v>11.8</v>
      </c>
      <c r="M12">
        <f>2*F9+3</f>
        <v>23.8</v>
      </c>
      <c r="O12" s="3" t="s">
        <v>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 t="s">
        <v>10</v>
      </c>
      <c r="AA12" s="3"/>
      <c r="AB12" s="3"/>
      <c r="AC12" s="3">
        <v>4.9000000000000002E-2</v>
      </c>
    </row>
    <row r="13" spans="1:29" x14ac:dyDescent="0.2">
      <c r="A13" t="s">
        <v>57</v>
      </c>
      <c r="D13">
        <v>1.3</v>
      </c>
      <c r="G13">
        <v>1.3</v>
      </c>
      <c r="I13" t="s">
        <v>7</v>
      </c>
      <c r="J13">
        <v>0.06</v>
      </c>
      <c r="K13">
        <v>0.06</v>
      </c>
      <c r="L13">
        <v>0.24099999999999999</v>
      </c>
      <c r="M13">
        <v>0.24099999999999999</v>
      </c>
      <c r="O13" s="3" t="s">
        <v>12</v>
      </c>
      <c r="P13" s="3" t="s">
        <v>13</v>
      </c>
      <c r="Q13" s="3" t="s">
        <v>36</v>
      </c>
      <c r="R13" s="3" t="s">
        <v>38</v>
      </c>
      <c r="S13" s="3" t="s">
        <v>35</v>
      </c>
      <c r="T13" s="3" t="s">
        <v>14</v>
      </c>
      <c r="U13" s="3" t="s">
        <v>15</v>
      </c>
      <c r="V13" s="3" t="s">
        <v>5</v>
      </c>
      <c r="W13" s="3" t="s">
        <v>16</v>
      </c>
      <c r="X13" s="3" t="s">
        <v>17</v>
      </c>
      <c r="Y13" s="3" t="s">
        <v>18</v>
      </c>
      <c r="Z13" s="3" t="s">
        <v>18</v>
      </c>
      <c r="AA13" s="3" t="s">
        <v>19</v>
      </c>
      <c r="AB13" s="3"/>
      <c r="AC13" s="3">
        <v>8.5999999999999993E-2</v>
      </c>
    </row>
    <row r="14" spans="1:29" x14ac:dyDescent="0.2">
      <c r="O14" s="3" t="s">
        <v>21</v>
      </c>
      <c r="P14" s="3">
        <v>0.39500000000000002</v>
      </c>
      <c r="Q14" s="3">
        <v>1.056</v>
      </c>
      <c r="R14" s="7">
        <f>Q14*10*60</f>
        <v>633.6</v>
      </c>
      <c r="S14" s="6">
        <f>Q14*60*24</f>
        <v>1520.6399999999999</v>
      </c>
      <c r="T14" s="3">
        <v>12.1</v>
      </c>
      <c r="U14" s="3">
        <v>1187</v>
      </c>
      <c r="V14" s="3">
        <v>4.05</v>
      </c>
      <c r="W14" s="3">
        <v>0.44</v>
      </c>
      <c r="X14" s="3">
        <v>0.17</v>
      </c>
      <c r="Y14" s="3">
        <v>0.17</v>
      </c>
      <c r="Z14" s="3">
        <v>0.188</v>
      </c>
      <c r="AA14" s="3">
        <v>6.8000000000000005E-2</v>
      </c>
      <c r="AB14" s="3"/>
      <c r="AC14" s="3">
        <v>0.16</v>
      </c>
    </row>
    <row r="15" spans="1:29" x14ac:dyDescent="0.2">
      <c r="B15" s="17" t="s">
        <v>6</v>
      </c>
      <c r="C15" s="17"/>
      <c r="D15" s="2"/>
      <c r="E15" s="17" t="s">
        <v>6</v>
      </c>
      <c r="F15" s="17"/>
      <c r="G15" s="2"/>
      <c r="J15" s="17" t="s">
        <v>34</v>
      </c>
      <c r="K15" s="17"/>
      <c r="L15" s="17" t="s">
        <v>34</v>
      </c>
      <c r="M15" s="17"/>
      <c r="N15" s="2"/>
      <c r="O15" s="3" t="s">
        <v>22</v>
      </c>
      <c r="P15" s="3">
        <v>0.41</v>
      </c>
      <c r="Q15" s="3">
        <v>0.93799999999999994</v>
      </c>
      <c r="R15" s="7">
        <f t="shared" ref="R15:R24" si="0">Q15*10*60</f>
        <v>562.79999999999995</v>
      </c>
      <c r="S15" s="6">
        <f t="shared" ref="S15:S24" si="1">Q15*60*24</f>
        <v>1350.7199999999998</v>
      </c>
      <c r="T15" s="3">
        <v>9</v>
      </c>
      <c r="U15" s="3">
        <v>883</v>
      </c>
      <c r="V15" s="3">
        <v>4.38</v>
      </c>
      <c r="W15" s="3">
        <v>0.44</v>
      </c>
      <c r="X15" s="3">
        <v>0.18</v>
      </c>
      <c r="Y15" s="3">
        <v>0.18</v>
      </c>
      <c r="Z15" s="3">
        <v>0.20300000000000001</v>
      </c>
      <c r="AA15" s="3">
        <v>7.4999999999999997E-2</v>
      </c>
      <c r="AB15" s="3"/>
      <c r="AC15" s="3"/>
    </row>
    <row r="16" spans="1:29" x14ac:dyDescent="0.2">
      <c r="A16" s="2" t="s">
        <v>2</v>
      </c>
      <c r="B16" s="2" t="s">
        <v>3</v>
      </c>
      <c r="C16" s="2" t="s">
        <v>4</v>
      </c>
      <c r="D16" s="2" t="s">
        <v>54</v>
      </c>
      <c r="E16" s="2" t="s">
        <v>3</v>
      </c>
      <c r="F16" s="2" t="s">
        <v>4</v>
      </c>
      <c r="G16" s="2" t="s">
        <v>54</v>
      </c>
      <c r="J16" s="2" t="s">
        <v>3</v>
      </c>
      <c r="K16" s="2" t="s">
        <v>4</v>
      </c>
      <c r="L16" s="2" t="s">
        <v>3</v>
      </c>
      <c r="M16" s="2" t="s">
        <v>4</v>
      </c>
      <c r="N16" s="2"/>
      <c r="O16" s="3" t="s">
        <v>23</v>
      </c>
      <c r="P16" s="3">
        <v>0.435</v>
      </c>
      <c r="Q16" s="3">
        <v>0.20799999999999999</v>
      </c>
      <c r="R16" s="7">
        <f t="shared" si="0"/>
        <v>124.80000000000001</v>
      </c>
      <c r="S16" s="6">
        <f t="shared" si="1"/>
        <v>299.52</v>
      </c>
      <c r="T16" s="3">
        <v>21.8</v>
      </c>
      <c r="U16" s="3">
        <v>2139</v>
      </c>
      <c r="V16" s="3">
        <v>4.9000000000000004</v>
      </c>
      <c r="W16" s="3">
        <v>0.56999999999999995</v>
      </c>
      <c r="X16" s="3">
        <v>0.26</v>
      </c>
      <c r="Y16" s="3">
        <v>0.25</v>
      </c>
      <c r="Z16" s="3">
        <v>0.26600000000000001</v>
      </c>
      <c r="AA16" s="3">
        <v>0.114</v>
      </c>
      <c r="AB16" s="3"/>
      <c r="AC16" s="3"/>
    </row>
    <row r="17" spans="1:29" x14ac:dyDescent="0.2">
      <c r="A17">
        <v>7.0000000000000007E-2</v>
      </c>
      <c r="B17" s="4">
        <f t="shared" ref="B17:B45" si="2">IF($A17&lt;B$7,B$8*(((B$7-B$10)/($A17-B$10))^B$9),0.01)</f>
        <v>30003950.323354445</v>
      </c>
      <c r="C17" s="4">
        <f t="shared" ref="C17:C45" si="3">IF($A17&lt;C$7,C$8*((C$7/$A17)^C$9),0.01)</f>
        <v>168295.86928015013</v>
      </c>
      <c r="D17" s="4">
        <f>IF($A17&lt;D$7,(1/D$11)*(1/((($A17-D$10)/(D$7-D$10))^(1/D$12))-1)^(1/D$13),0.01)</f>
        <v>7060424.8248849949</v>
      </c>
      <c r="E17" s="4"/>
      <c r="F17" s="4"/>
      <c r="G17" s="4"/>
      <c r="J17" s="4">
        <f>IF($A17&lt;J$10,((($A17-J$13)/(J$10-J$13))^J$12),1)</f>
        <v>1.0010650715403232E-17</v>
      </c>
      <c r="K17" s="4">
        <f>IF($A17&lt;K$10,(($A17/K$10)^K$12),1)</f>
        <v>6.9918551613665276E-11</v>
      </c>
      <c r="L17" s="4"/>
      <c r="M17" s="4">
        <f>IF($A17&lt;M$10,(($A17/M$10)^M$12),1)</f>
        <v>6.9913960765575421E-21</v>
      </c>
      <c r="O17" s="3" t="s">
        <v>24</v>
      </c>
      <c r="P17" s="3">
        <v>0.48499999999999999</v>
      </c>
      <c r="Q17" s="3">
        <v>4.3200000000000002E-2</v>
      </c>
      <c r="R17" s="7">
        <f t="shared" si="0"/>
        <v>25.92</v>
      </c>
      <c r="S17" s="6">
        <f t="shared" si="1"/>
        <v>62.207999999999998</v>
      </c>
      <c r="T17" s="3">
        <v>78.599999999999994</v>
      </c>
      <c r="U17" s="3">
        <v>7711</v>
      </c>
      <c r="V17" s="3">
        <v>5.3</v>
      </c>
      <c r="W17" s="3">
        <v>0.76</v>
      </c>
      <c r="X17" s="3">
        <v>0.37</v>
      </c>
      <c r="Y17" s="3">
        <v>0.37</v>
      </c>
      <c r="Z17" s="3">
        <v>0.36499999999999999</v>
      </c>
      <c r="AA17" s="3">
        <v>0.17899999999999999</v>
      </c>
      <c r="AB17" s="3"/>
      <c r="AC17" s="3"/>
    </row>
    <row r="18" spans="1:29" x14ac:dyDescent="0.2">
      <c r="A18">
        <f>A17+0.02</f>
        <v>9.0000000000000011E-2</v>
      </c>
      <c r="B18" s="4">
        <f t="shared" si="2"/>
        <v>413433.38603034586</v>
      </c>
      <c r="C18" s="4">
        <f t="shared" si="3"/>
        <v>49120.81415553335</v>
      </c>
      <c r="D18" s="4">
        <f t="shared" ref="D18:D47" si="4">IF($A18&lt;D$7,(1/D$11)*(1/((($A18-D$10)/(D$7-D$10))^(1/D$12))-1)^(1/D$13),0.01)</f>
        <v>181309.60226952386</v>
      </c>
      <c r="E18" s="4"/>
      <c r="F18" s="4"/>
      <c r="G18" s="4"/>
      <c r="J18" s="4">
        <f t="shared" ref="J18:J37" si="5">IF($A18&lt;J$10,((($A18-J$13)/(J$10-J$13))^J$12),1)</f>
        <v>1.4235471608571055E-12</v>
      </c>
      <c r="K18" s="4">
        <f t="shared" ref="K18:K37" si="6">IF($A18&lt;K$10,(($A18/K$10)^K$12),1)</f>
        <v>1.7443821413641049E-9</v>
      </c>
      <c r="L18" s="4"/>
      <c r="M18" s="4">
        <f t="shared" ref="M18:M43" si="7">IF($A18&lt;M$10,(($A18/M$10)^M$12),1)</f>
        <v>2.7682306877591265E-18</v>
      </c>
      <c r="O18" s="3" t="s">
        <v>25</v>
      </c>
      <c r="P18" s="3">
        <v>0.45100000000000001</v>
      </c>
      <c r="Q18" s="3">
        <v>4.1700000000000001E-2</v>
      </c>
      <c r="R18" s="7">
        <f t="shared" si="0"/>
        <v>25.020000000000003</v>
      </c>
      <c r="S18" s="6">
        <f t="shared" si="1"/>
        <v>60.048000000000002</v>
      </c>
      <c r="T18" s="3">
        <v>47.8</v>
      </c>
      <c r="U18" s="3">
        <v>4689</v>
      </c>
      <c r="V18" s="3">
        <v>5.39</v>
      </c>
      <c r="W18" s="3">
        <v>0.7</v>
      </c>
      <c r="X18" s="3">
        <v>0.34</v>
      </c>
      <c r="Y18" s="3">
        <v>0.31</v>
      </c>
      <c r="Z18" s="3">
        <v>0.32400000000000001</v>
      </c>
      <c r="AA18" s="3">
        <v>0.155</v>
      </c>
      <c r="AB18" s="3"/>
      <c r="AC18" s="3"/>
    </row>
    <row r="19" spans="1:29" x14ac:dyDescent="0.2">
      <c r="A19">
        <f t="shared" ref="A19:A34" si="8">A18+0.02</f>
        <v>0.11000000000000001</v>
      </c>
      <c r="B19" s="4">
        <f t="shared" si="2"/>
        <v>56389.133467654501</v>
      </c>
      <c r="C19" s="4">
        <f t="shared" si="3"/>
        <v>18375.099329376058</v>
      </c>
      <c r="D19" s="4">
        <f t="shared" si="4"/>
        <v>33027.593081823252</v>
      </c>
      <c r="E19" s="4"/>
      <c r="F19" s="4"/>
      <c r="G19" s="4"/>
      <c r="J19" s="4">
        <f t="shared" si="5"/>
        <v>3.5427324505394669E-10</v>
      </c>
      <c r="K19" s="4">
        <f t="shared" si="6"/>
        <v>2.2759561006987822E-8</v>
      </c>
      <c r="L19" s="4"/>
      <c r="M19" s="4">
        <f t="shared" si="7"/>
        <v>3.2837982032743083E-16</v>
      </c>
      <c r="O19" s="3" t="s">
        <v>26</v>
      </c>
      <c r="P19" s="3">
        <v>0.42</v>
      </c>
      <c r="Q19" s="3">
        <v>3.78E-2</v>
      </c>
      <c r="R19" s="7">
        <f t="shared" si="0"/>
        <v>22.68</v>
      </c>
      <c r="S19" s="6">
        <f t="shared" si="1"/>
        <v>54.431999999999995</v>
      </c>
      <c r="T19" s="3">
        <v>29.9</v>
      </c>
      <c r="U19" s="3">
        <v>2933</v>
      </c>
      <c r="V19" s="3">
        <v>7.12</v>
      </c>
      <c r="W19" s="3">
        <v>0.71</v>
      </c>
      <c r="X19" s="3">
        <v>0.42</v>
      </c>
      <c r="Y19" s="3">
        <v>0.3</v>
      </c>
      <c r="Z19" s="3">
        <v>0.317</v>
      </c>
      <c r="AA19" s="3">
        <v>0.17499999999999999</v>
      </c>
      <c r="AB19" s="3"/>
      <c r="AC19" s="3"/>
    </row>
    <row r="20" spans="1:29" x14ac:dyDescent="0.2">
      <c r="A20">
        <f t="shared" si="8"/>
        <v>0.13</v>
      </c>
      <c r="B20" s="4">
        <f t="shared" si="2"/>
        <v>15180.849741550013</v>
      </c>
      <c r="C20" s="4">
        <f t="shared" si="3"/>
        <v>8104.5970353137436</v>
      </c>
      <c r="D20" s="4">
        <f t="shared" si="4"/>
        <v>10754.878973759694</v>
      </c>
      <c r="E20" s="4"/>
      <c r="F20" s="4"/>
      <c r="G20" s="4"/>
      <c r="J20" s="4">
        <f t="shared" si="5"/>
        <v>1.3412852252314512E-8</v>
      </c>
      <c r="K20" s="4">
        <f t="shared" si="6"/>
        <v>1.9311340458056829E-7</v>
      </c>
      <c r="L20" s="4"/>
      <c r="M20" s="4">
        <f t="shared" si="7"/>
        <v>1.7501784781381527E-14</v>
      </c>
      <c r="O20" s="3" t="s">
        <v>27</v>
      </c>
      <c r="P20" s="3">
        <v>0.47699999999999998</v>
      </c>
      <c r="Q20" s="3">
        <v>1.0200000000000001E-2</v>
      </c>
      <c r="R20" s="7">
        <f t="shared" si="0"/>
        <v>6.12</v>
      </c>
      <c r="S20" s="6">
        <f t="shared" si="1"/>
        <v>14.688000000000002</v>
      </c>
      <c r="T20" s="3">
        <v>35.6</v>
      </c>
      <c r="U20" s="3">
        <v>3492</v>
      </c>
      <c r="V20" s="3">
        <v>7.75</v>
      </c>
      <c r="W20" s="3">
        <v>0.75</v>
      </c>
      <c r="X20" s="3">
        <v>0.46</v>
      </c>
      <c r="Y20" s="3">
        <v>0.36</v>
      </c>
      <c r="Z20" s="3">
        <v>0.39700000000000002</v>
      </c>
      <c r="AA20" s="3">
        <v>0.218</v>
      </c>
      <c r="AB20" s="3"/>
      <c r="AC20" s="3"/>
    </row>
    <row r="21" spans="1:29" x14ac:dyDescent="0.2">
      <c r="A21">
        <f t="shared" si="8"/>
        <v>0.15</v>
      </c>
      <c r="B21" s="4">
        <f t="shared" si="2"/>
        <v>5696.8220131824064</v>
      </c>
      <c r="C21" s="4">
        <f t="shared" si="3"/>
        <v>4019.82070976665</v>
      </c>
      <c r="D21" s="4">
        <f t="shared" si="4"/>
        <v>4648.7159826345487</v>
      </c>
      <c r="E21" s="4"/>
      <c r="F21" s="4"/>
      <c r="G21" s="4"/>
      <c r="J21" s="4">
        <f t="shared" si="5"/>
        <v>2.0243304624206032E-7</v>
      </c>
      <c r="K21" s="4">
        <f t="shared" si="6"/>
        <v>1.2058842610984133E-6</v>
      </c>
      <c r="L21" s="4"/>
      <c r="M21" s="4">
        <f t="shared" si="7"/>
        <v>5.2747577592813651E-13</v>
      </c>
      <c r="O21" s="3" t="s">
        <v>28</v>
      </c>
      <c r="P21" s="3">
        <v>0.47599999999999998</v>
      </c>
      <c r="Q21" s="3">
        <v>1.47E-2</v>
      </c>
      <c r="R21" s="7">
        <f t="shared" si="0"/>
        <v>8.82</v>
      </c>
      <c r="S21" s="6">
        <f t="shared" si="1"/>
        <v>21.167999999999999</v>
      </c>
      <c r="T21" s="3">
        <v>63</v>
      </c>
      <c r="U21" s="3">
        <v>6180</v>
      </c>
      <c r="V21" s="3">
        <v>8.52</v>
      </c>
      <c r="W21" s="3">
        <v>0.82</v>
      </c>
      <c r="X21" s="3">
        <v>0.52</v>
      </c>
      <c r="Y21" s="3">
        <v>0.39</v>
      </c>
      <c r="Z21" s="3">
        <v>0.40200000000000002</v>
      </c>
      <c r="AA21" s="3">
        <v>0.25</v>
      </c>
      <c r="AB21" s="3"/>
      <c r="AC21" s="3"/>
    </row>
    <row r="22" spans="1:29" x14ac:dyDescent="0.2">
      <c r="A22">
        <f t="shared" si="8"/>
        <v>0.16999999999999998</v>
      </c>
      <c r="B22" s="4">
        <f t="shared" si="2"/>
        <v>2604.6355607309606</v>
      </c>
      <c r="C22" s="4">
        <f t="shared" si="3"/>
        <v>2176.978489928531</v>
      </c>
      <c r="D22" s="4">
        <f t="shared" si="4"/>
        <v>2376.1534772636155</v>
      </c>
      <c r="E22" s="4"/>
      <c r="F22" s="4"/>
      <c r="G22" s="4"/>
      <c r="J22" s="4">
        <f t="shared" si="5"/>
        <v>1.7680856861215363E-6</v>
      </c>
      <c r="K22" s="4">
        <f t="shared" si="6"/>
        <v>5.985269422410265E-6</v>
      </c>
      <c r="L22" s="4"/>
      <c r="M22" s="4">
        <f t="shared" si="7"/>
        <v>1.0373250913022923E-11</v>
      </c>
      <c r="O22" s="3" t="s">
        <v>26</v>
      </c>
      <c r="P22" s="3">
        <v>0.42599999999999999</v>
      </c>
      <c r="Q22" s="3">
        <v>1.2999999999999999E-2</v>
      </c>
      <c r="R22" s="7">
        <f t="shared" si="0"/>
        <v>7.8000000000000007</v>
      </c>
      <c r="S22" s="6">
        <f t="shared" si="1"/>
        <v>18.72</v>
      </c>
      <c r="T22" s="3">
        <v>15.3</v>
      </c>
      <c r="U22" s="3">
        <v>1501</v>
      </c>
      <c r="V22" s="3">
        <v>10.4</v>
      </c>
      <c r="W22" s="3">
        <v>0.74</v>
      </c>
      <c r="X22" s="3">
        <v>0.51</v>
      </c>
      <c r="Y22" s="3">
        <v>0.32</v>
      </c>
      <c r="Z22" s="3">
        <v>0.35799999999999998</v>
      </c>
      <c r="AA22" s="3">
        <v>0.219</v>
      </c>
    </row>
    <row r="23" spans="1:29" x14ac:dyDescent="0.2">
      <c r="A23">
        <f t="shared" si="8"/>
        <v>0.18999999999999997</v>
      </c>
      <c r="B23" s="4">
        <f t="shared" si="2"/>
        <v>1357.686075088335</v>
      </c>
      <c r="C23" s="4">
        <f t="shared" si="3"/>
        <v>1262.2960058169654</v>
      </c>
      <c r="D23" s="4">
        <f t="shared" si="4"/>
        <v>1356.0622764555451</v>
      </c>
      <c r="E23" s="4"/>
      <c r="F23" s="4"/>
      <c r="G23" s="4"/>
      <c r="J23" s="4">
        <f t="shared" si="5"/>
        <v>1.0741143369550059E-5</v>
      </c>
      <c r="K23" s="4">
        <f t="shared" si="6"/>
        <v>2.485327373446805E-5</v>
      </c>
      <c r="L23" s="4"/>
      <c r="M23" s="4">
        <f t="shared" si="7"/>
        <v>1.4640848841617506E-10</v>
      </c>
      <c r="O23" s="3" t="s">
        <v>29</v>
      </c>
      <c r="P23" s="3">
        <v>0.49199999999999999</v>
      </c>
      <c r="Q23" s="3">
        <v>6.1999999999999998E-3</v>
      </c>
      <c r="R23" s="8">
        <f t="shared" si="0"/>
        <v>3.7199999999999998</v>
      </c>
      <c r="S23" s="6">
        <f t="shared" si="1"/>
        <v>8.9280000000000008</v>
      </c>
      <c r="T23" s="3">
        <v>49</v>
      </c>
      <c r="U23" s="3">
        <v>4807</v>
      </c>
      <c r="V23" s="3">
        <v>10.4</v>
      </c>
      <c r="W23" s="3">
        <v>0.83</v>
      </c>
      <c r="X23" s="3">
        <v>0.57999999999999996</v>
      </c>
      <c r="Y23" s="3">
        <v>0.41</v>
      </c>
      <c r="Z23" s="3">
        <v>0.433</v>
      </c>
      <c r="AA23" s="3">
        <v>0.28299999999999997</v>
      </c>
    </row>
    <row r="24" spans="1:29" x14ac:dyDescent="0.2">
      <c r="A24">
        <f t="shared" si="8"/>
        <v>0.20999999999999996</v>
      </c>
      <c r="B24" s="4">
        <f t="shared" si="2"/>
        <v>777.00269909802716</v>
      </c>
      <c r="C24" s="4">
        <f t="shared" si="3"/>
        <v>772.99966994961483</v>
      </c>
      <c r="D24" s="4">
        <f t="shared" si="4"/>
        <v>835.92081677161877</v>
      </c>
      <c r="E24" s="4"/>
      <c r="F24" s="4"/>
      <c r="G24" s="4"/>
      <c r="J24" s="4">
        <f t="shared" si="5"/>
        <v>5.0378810179460363E-5</v>
      </c>
      <c r="K24" s="4">
        <f t="shared" si="6"/>
        <v>8.9483813413800207E-5</v>
      </c>
      <c r="L24" s="4"/>
      <c r="M24" s="4">
        <f t="shared" si="7"/>
        <v>1.5850748267251392E-9</v>
      </c>
      <c r="O24" s="3" t="s">
        <v>30</v>
      </c>
      <c r="P24" s="3">
        <v>0.48199999999999998</v>
      </c>
      <c r="Q24" s="3">
        <v>7.7000000000000002E-3</v>
      </c>
      <c r="R24" s="7">
        <f t="shared" si="0"/>
        <v>4.62</v>
      </c>
      <c r="S24" s="6">
        <f t="shared" si="1"/>
        <v>11.088000000000001</v>
      </c>
      <c r="T24" s="3">
        <v>40.5</v>
      </c>
      <c r="U24" s="3">
        <v>3973</v>
      </c>
      <c r="V24" s="3">
        <v>11.4</v>
      </c>
      <c r="W24" s="3">
        <v>0.83</v>
      </c>
      <c r="X24" s="3">
        <v>0.59</v>
      </c>
      <c r="Y24" s="3">
        <v>0.4</v>
      </c>
      <c r="Z24" s="3">
        <v>0.42499999999999999</v>
      </c>
      <c r="AA24" s="3">
        <v>0.28599999999999998</v>
      </c>
    </row>
    <row r="25" spans="1:29" x14ac:dyDescent="0.2">
      <c r="A25">
        <f t="shared" si="8"/>
        <v>0.22999999999999995</v>
      </c>
      <c r="B25" s="4">
        <f t="shared" si="2"/>
        <v>476.90035351629939</v>
      </c>
      <c r="C25" s="4">
        <f t="shared" si="3"/>
        <v>494.97977760252581</v>
      </c>
      <c r="D25" s="4">
        <f t="shared" si="4"/>
        <v>544.89883109658854</v>
      </c>
      <c r="E25" s="4"/>
      <c r="F25" s="4">
        <f t="shared" ref="F25:F45" si="9">IF($A25&lt;F$7,F$8*((F$7/$A25)^F$9),0.01)</f>
        <v>133248.90666176015</v>
      </c>
      <c r="G25" s="4"/>
      <c r="J25" s="4">
        <f t="shared" si="5"/>
        <v>1.9467521339576794E-4</v>
      </c>
      <c r="K25" s="4">
        <f t="shared" si="6"/>
        <v>2.8671724304546854E-4</v>
      </c>
      <c r="L25" s="4"/>
      <c r="M25" s="4">
        <f t="shared" si="7"/>
        <v>1.3815068777128415E-8</v>
      </c>
    </row>
    <row r="26" spans="1:29" x14ac:dyDescent="0.2">
      <c r="A26">
        <f t="shared" si="8"/>
        <v>0.24999999999999994</v>
      </c>
      <c r="B26" s="4">
        <f t="shared" si="2"/>
        <v>309.05757600501119</v>
      </c>
      <c r="C26" s="4">
        <f t="shared" si="3"/>
        <v>328.96357310984462</v>
      </c>
      <c r="D26" s="4">
        <f t="shared" si="4"/>
        <v>370.07515265634055</v>
      </c>
      <c r="E26" s="4">
        <f t="shared" ref="E26:E45" si="10">IF($A26&lt;E$7,E$8*(((E$7-E$10)/($A26-E$10))^E$9),0.01)</f>
        <v>112225981.67888664</v>
      </c>
      <c r="F26" s="4">
        <f t="shared" si="9"/>
        <v>55983.114858294124</v>
      </c>
      <c r="G26" s="4">
        <f t="shared" ref="G26:G47" si="11">IF($A26&lt;G$7,(1/G$11)*(1/((($A26-G$10)/(G$7-G$10))^(1/G$12))-1)^(1/G$13),0.01)</f>
        <v>6578151.2975735357</v>
      </c>
      <c r="J26" s="4">
        <f t="shared" si="5"/>
        <v>6.4714440213052787E-4</v>
      </c>
      <c r="K26" s="4">
        <f t="shared" si="6"/>
        <v>8.336228723527958E-4</v>
      </c>
      <c r="L26" s="4">
        <f>IF($A26&lt;L$10,((($A26-L$13)/(L$10-L$13))^L$12),1)</f>
        <v>8.788438094325288E-18</v>
      </c>
      <c r="M26" s="4">
        <f t="shared" si="7"/>
        <v>1.005084928150318E-7</v>
      </c>
    </row>
    <row r="27" spans="1:29" x14ac:dyDescent="0.2">
      <c r="A27">
        <f t="shared" si="8"/>
        <v>0.26999999999999996</v>
      </c>
      <c r="B27" s="4">
        <f t="shared" si="2"/>
        <v>209.18145923543949</v>
      </c>
      <c r="C27" s="4">
        <f t="shared" si="3"/>
        <v>225.61678603458225</v>
      </c>
      <c r="D27" s="4">
        <f t="shared" si="4"/>
        <v>258.93575872383428</v>
      </c>
      <c r="E27" s="4">
        <f t="shared" si="10"/>
        <v>651942.45535122172</v>
      </c>
      <c r="F27" s="4">
        <f t="shared" si="9"/>
        <v>25144.905139194692</v>
      </c>
      <c r="G27" s="4">
        <f t="shared" si="11"/>
        <v>133113.90266418876</v>
      </c>
      <c r="J27" s="4">
        <f t="shared" si="5"/>
        <v>1.9073513086815476E-3</v>
      </c>
      <c r="K27" s="4">
        <f t="shared" si="6"/>
        <v>2.232511435916012E-3</v>
      </c>
      <c r="L27" s="4">
        <f t="shared" ref="L27:L43" si="12">IF($A27&lt;L$10,((($A27-L$13)/(L$10-L$13))^L$12),1)</f>
        <v>8.7125736377272497E-12</v>
      </c>
      <c r="M27" s="4">
        <f t="shared" si="7"/>
        <v>6.2760752354564497E-7</v>
      </c>
    </row>
    <row r="28" spans="1:29" x14ac:dyDescent="0.2">
      <c r="A28">
        <f t="shared" si="8"/>
        <v>0.28999999999999998</v>
      </c>
      <c r="B28" s="4">
        <f t="shared" si="2"/>
        <v>146.70329801887883</v>
      </c>
      <c r="C28" s="4">
        <f t="shared" si="3"/>
        <v>158.96578645302179</v>
      </c>
      <c r="D28" s="4">
        <f t="shared" si="4"/>
        <v>184.90324970973123</v>
      </c>
      <c r="E28" s="4">
        <f t="shared" si="10"/>
        <v>64848.16664243026</v>
      </c>
      <c r="F28" s="4">
        <f t="shared" si="9"/>
        <v>11958.975348513197</v>
      </c>
      <c r="G28" s="4">
        <f t="shared" si="11"/>
        <v>23154.951685732489</v>
      </c>
      <c r="J28" s="4">
        <f t="shared" si="5"/>
        <v>5.0947506985658062E-3</v>
      </c>
      <c r="K28" s="4">
        <f t="shared" si="6"/>
        <v>5.5722665668446946E-3</v>
      </c>
      <c r="L28" s="4">
        <f t="shared" si="12"/>
        <v>4.2477977531044488E-9</v>
      </c>
      <c r="M28" s="4">
        <f t="shared" si="7"/>
        <v>3.4379765028047457E-6</v>
      </c>
    </row>
    <row r="29" spans="1:29" x14ac:dyDescent="0.2">
      <c r="A29">
        <f t="shared" si="8"/>
        <v>0.31</v>
      </c>
      <c r="B29" s="4">
        <f t="shared" si="2"/>
        <v>105.97719096868116</v>
      </c>
      <c r="C29" s="4">
        <f t="shared" si="3"/>
        <v>114.65197832318474</v>
      </c>
      <c r="D29" s="4">
        <f t="shared" si="4"/>
        <v>133.58312842876535</v>
      </c>
      <c r="E29" s="4">
        <f t="shared" si="10"/>
        <v>14382.171238865591</v>
      </c>
      <c r="F29" s="4">
        <f t="shared" si="9"/>
        <v>5976.8386651526262</v>
      </c>
      <c r="G29" s="4">
        <f t="shared" si="11"/>
        <v>7381.9757657728942</v>
      </c>
      <c r="J29" s="4">
        <f t="shared" si="5"/>
        <v>1.2537599775400568E-2</v>
      </c>
      <c r="K29" s="4">
        <f t="shared" si="6"/>
        <v>1.3084803108850074E-2</v>
      </c>
      <c r="L29" s="4">
        <f t="shared" si="12"/>
        <v>2.4114005588416712E-7</v>
      </c>
      <c r="M29" s="4">
        <f t="shared" si="7"/>
        <v>1.6812754342937867E-5</v>
      </c>
    </row>
    <row r="30" spans="1:29" x14ac:dyDescent="0.2">
      <c r="A30">
        <f t="shared" si="8"/>
        <v>0.33</v>
      </c>
      <c r="B30" s="4">
        <f t="shared" si="2"/>
        <v>78.498210706905738</v>
      </c>
      <c r="C30" s="4">
        <f t="shared" si="3"/>
        <v>84.398659204491608</v>
      </c>
      <c r="D30" s="4">
        <f t="shared" si="4"/>
        <v>96.728828883895829</v>
      </c>
      <c r="E30" s="4">
        <f t="shared" si="10"/>
        <v>4692.9337713244195</v>
      </c>
      <c r="F30" s="4">
        <f t="shared" si="9"/>
        <v>3119.5228712917924</v>
      </c>
      <c r="G30" s="4">
        <f t="shared" si="11"/>
        <v>3141.8604252242089</v>
      </c>
      <c r="J30" s="4">
        <f t="shared" si="5"/>
        <v>2.8786638994220001E-2</v>
      </c>
      <c r="K30" s="4">
        <f t="shared" si="6"/>
        <v>2.912835382778825E-2</v>
      </c>
      <c r="L30" s="4">
        <f t="shared" si="12"/>
        <v>4.8601778847766872E-6</v>
      </c>
      <c r="M30" s="4">
        <f t="shared" si="7"/>
        <v>7.4449592199592131E-5</v>
      </c>
    </row>
    <row r="31" spans="1:29" x14ac:dyDescent="0.2">
      <c r="A31">
        <f t="shared" si="8"/>
        <v>0.35000000000000003</v>
      </c>
      <c r="B31" s="4">
        <f t="shared" si="2"/>
        <v>59.405443967621558</v>
      </c>
      <c r="C31" s="4">
        <f t="shared" si="3"/>
        <v>63.258725151977373</v>
      </c>
      <c r="D31" s="4">
        <f t="shared" si="4"/>
        <v>69.380034253907738</v>
      </c>
      <c r="E31" s="4">
        <f t="shared" si="10"/>
        <v>1923.4631197221759</v>
      </c>
      <c r="F31" s="4">
        <f t="shared" si="9"/>
        <v>1691.7083291416661</v>
      </c>
      <c r="G31" s="4">
        <f t="shared" si="11"/>
        <v>1578.9568532300516</v>
      </c>
      <c r="J31" s="4">
        <f t="shared" si="5"/>
        <v>6.2281732636605802E-2</v>
      </c>
      <c r="K31" s="4">
        <f t="shared" si="6"/>
        <v>6.1859795316630675E-2</v>
      </c>
      <c r="L31" s="4">
        <f t="shared" si="12"/>
        <v>5.3147490407942429E-5</v>
      </c>
      <c r="M31" s="4">
        <f t="shared" si="7"/>
        <v>3.0202994924813012E-4</v>
      </c>
    </row>
    <row r="32" spans="1:29" x14ac:dyDescent="0.2">
      <c r="A32">
        <f t="shared" si="8"/>
        <v>0.37000000000000005</v>
      </c>
      <c r="B32" s="4">
        <f t="shared" si="2"/>
        <v>45.800248227084758</v>
      </c>
      <c r="C32" s="4">
        <f t="shared" si="3"/>
        <v>48.179845694900443</v>
      </c>
      <c r="D32" s="4">
        <f t="shared" si="4"/>
        <v>48.410560270401859</v>
      </c>
      <c r="E32" s="4">
        <f t="shared" si="10"/>
        <v>916.57019175818289</v>
      </c>
      <c r="F32" s="4">
        <f t="shared" si="9"/>
        <v>949.15080085141039</v>
      </c>
      <c r="G32" s="4">
        <f t="shared" si="11"/>
        <v>879.83537256551347</v>
      </c>
      <c r="J32" s="4">
        <f t="shared" si="5"/>
        <v>0.1279878082423995</v>
      </c>
      <c r="K32" s="4">
        <f t="shared" si="6"/>
        <v>0.12598521429703124</v>
      </c>
      <c r="L32" s="4">
        <f t="shared" si="12"/>
        <v>3.8797940087165916E-4</v>
      </c>
      <c r="M32" s="4">
        <f t="shared" si="7"/>
        <v>1.1335262631485387E-3</v>
      </c>
    </row>
    <row r="33" spans="1:13" x14ac:dyDescent="0.2">
      <c r="A33">
        <f t="shared" si="8"/>
        <v>0.39000000000000007</v>
      </c>
      <c r="B33" s="4">
        <f t="shared" si="2"/>
        <v>35.890050731414988</v>
      </c>
      <c r="C33" s="4">
        <f t="shared" si="3"/>
        <v>37.225220441646663</v>
      </c>
      <c r="D33" s="4">
        <f t="shared" si="4"/>
        <v>31.733336760544127</v>
      </c>
      <c r="E33" s="4">
        <f t="shared" si="10"/>
        <v>486.1170721702095</v>
      </c>
      <c r="F33" s="4">
        <f t="shared" si="9"/>
        <v>548.98595743744693</v>
      </c>
      <c r="G33" s="4">
        <f t="shared" si="11"/>
        <v>522.55975370463375</v>
      </c>
      <c r="J33" s="4">
        <f t="shared" si="5"/>
        <v>0.25142754753770735</v>
      </c>
      <c r="K33" s="4">
        <f t="shared" si="6"/>
        <v>0.247152200158191</v>
      </c>
      <c r="L33" s="4">
        <f t="shared" si="12"/>
        <v>2.1254361053841247E-3</v>
      </c>
      <c r="M33" s="4">
        <f t="shared" si="7"/>
        <v>3.967968367969932E-3</v>
      </c>
    </row>
    <row r="34" spans="1:13" x14ac:dyDescent="0.2">
      <c r="A34">
        <f t="shared" si="8"/>
        <v>0.41000000000000009</v>
      </c>
      <c r="B34" s="4">
        <f t="shared" si="2"/>
        <v>28.530741885756004</v>
      </c>
      <c r="C34" s="4">
        <f t="shared" si="3"/>
        <v>29.134861288963034</v>
      </c>
      <c r="D34" s="4">
        <f t="shared" si="4"/>
        <v>17.777782087816924</v>
      </c>
      <c r="E34" s="4">
        <f t="shared" si="10"/>
        <v>279.29229468790362</v>
      </c>
      <c r="F34" s="4">
        <f t="shared" si="9"/>
        <v>326.34806268984801</v>
      </c>
      <c r="G34" s="4">
        <f t="shared" si="11"/>
        <v>320.82838634417033</v>
      </c>
      <c r="J34" s="4">
        <f t="shared" si="5"/>
        <v>0.47467590548784877</v>
      </c>
      <c r="K34" s="4">
        <f t="shared" si="6"/>
        <v>0.46878194541722257</v>
      </c>
      <c r="L34" s="4">
        <f t="shared" si="12"/>
        <v>9.3953551419769087E-3</v>
      </c>
      <c r="M34" s="4">
        <f t="shared" si="7"/>
        <v>1.3046269453720102E-2</v>
      </c>
    </row>
    <row r="35" spans="1:13" x14ac:dyDescent="0.2">
      <c r="A35">
        <f>A34+0.01</f>
        <v>0.4200000000000001</v>
      </c>
      <c r="B35" s="4">
        <f t="shared" si="2"/>
        <v>25.562226856459059</v>
      </c>
      <c r="C35" s="4">
        <f t="shared" si="3"/>
        <v>25.890016650040895</v>
      </c>
      <c r="D35" s="4">
        <f t="shared" si="4"/>
        <v>11.307423064517826</v>
      </c>
      <c r="E35" s="4">
        <f t="shared" si="10"/>
        <v>216.87381454063961</v>
      </c>
      <c r="F35" s="4">
        <f t="shared" si="9"/>
        <v>254.00398410430023</v>
      </c>
      <c r="G35" s="4">
        <f t="shared" si="11"/>
        <v>252.12458128621233</v>
      </c>
      <c r="J35" s="4">
        <f t="shared" si="5"/>
        <v>0.6434715007414602</v>
      </c>
      <c r="K35" s="4">
        <f t="shared" si="6"/>
        <v>0.63815830874742407</v>
      </c>
      <c r="L35" s="4">
        <f t="shared" si="12"/>
        <v>1.8514664729387204E-2</v>
      </c>
      <c r="M35" s="4">
        <f t="shared" si="7"/>
        <v>2.3150675395717024E-2</v>
      </c>
    </row>
    <row r="36" spans="1:13" x14ac:dyDescent="0.2">
      <c r="A36">
        <f t="shared" ref="A36:A44" si="13">A35+0.01</f>
        <v>0.4300000000000001</v>
      </c>
      <c r="B36" s="4">
        <f t="shared" si="2"/>
        <v>22.971624780445769</v>
      </c>
      <c r="C36" s="4">
        <f t="shared" si="3"/>
        <v>23.070575081700841</v>
      </c>
      <c r="D36" s="4">
        <f t="shared" si="4"/>
        <v>4.587445832280995</v>
      </c>
      <c r="E36" s="4">
        <f t="shared" si="10"/>
        <v>170.73734201649987</v>
      </c>
      <c r="F36" s="4">
        <f t="shared" si="9"/>
        <v>198.86630788506747</v>
      </c>
      <c r="G36" s="4">
        <f t="shared" si="11"/>
        <v>197.29923296933706</v>
      </c>
      <c r="J36" s="4">
        <f t="shared" si="5"/>
        <v>0.86504943829336367</v>
      </c>
      <c r="K36" s="4">
        <f t="shared" si="6"/>
        <v>0.86244963435381738</v>
      </c>
      <c r="L36" s="4">
        <f t="shared" si="12"/>
        <v>3.5164089420124139E-2</v>
      </c>
      <c r="M36" s="4">
        <f t="shared" si="7"/>
        <v>4.053029800157093E-2</v>
      </c>
    </row>
    <row r="37" spans="1:13" x14ac:dyDescent="0.2">
      <c r="A37">
        <f t="shared" si="13"/>
        <v>0.44000000000000011</v>
      </c>
      <c r="B37" s="4">
        <f t="shared" si="2"/>
        <v>0.01</v>
      </c>
      <c r="C37" s="4">
        <f t="shared" si="3"/>
        <v>0.01</v>
      </c>
      <c r="D37" s="4">
        <f t="shared" si="4"/>
        <v>0.01</v>
      </c>
      <c r="E37" s="4">
        <f t="shared" si="10"/>
        <v>136.08395364615998</v>
      </c>
      <c r="F37" s="4">
        <f t="shared" si="9"/>
        <v>156.57604300140042</v>
      </c>
      <c r="G37" s="4">
        <f t="shared" si="11"/>
        <v>152.75457340698046</v>
      </c>
      <c r="J37" s="4">
        <f t="shared" si="5"/>
        <v>1</v>
      </c>
      <c r="K37" s="4">
        <f t="shared" si="6"/>
        <v>1</v>
      </c>
      <c r="L37" s="4">
        <f t="shared" si="12"/>
        <v>6.4612476639609895E-2</v>
      </c>
      <c r="M37" s="4">
        <f t="shared" si="7"/>
        <v>7.0049373349169455E-2</v>
      </c>
    </row>
    <row r="38" spans="1:13" x14ac:dyDescent="0.2">
      <c r="A38">
        <f t="shared" si="13"/>
        <v>0.45000000000000012</v>
      </c>
      <c r="B38" s="4">
        <f t="shared" si="2"/>
        <v>0.01</v>
      </c>
      <c r="C38" s="4">
        <f t="shared" si="3"/>
        <v>0.01</v>
      </c>
      <c r="D38" s="4">
        <f t="shared" si="4"/>
        <v>0.01</v>
      </c>
      <c r="E38" s="4">
        <f t="shared" si="10"/>
        <v>109.67731138034584</v>
      </c>
      <c r="F38" s="4">
        <f t="shared" si="9"/>
        <v>123.94328585993627</v>
      </c>
      <c r="G38" s="4">
        <f t="shared" si="11"/>
        <v>115.87756678852325</v>
      </c>
      <c r="J38" s="4"/>
      <c r="K38" s="4"/>
      <c r="L38" s="4">
        <f t="shared" si="12"/>
        <v>0.11523283923142029</v>
      </c>
      <c r="M38" s="4">
        <f t="shared" si="7"/>
        <v>0.11958821456768177</v>
      </c>
    </row>
    <row r="39" spans="1:13" x14ac:dyDescent="0.2">
      <c r="A39">
        <f t="shared" si="13"/>
        <v>0.46000000000000013</v>
      </c>
      <c r="B39" s="4">
        <f t="shared" si="2"/>
        <v>0.01</v>
      </c>
      <c r="C39" s="4">
        <f t="shared" si="3"/>
        <v>0.01</v>
      </c>
      <c r="D39" s="4">
        <f t="shared" si="4"/>
        <v>0.01</v>
      </c>
      <c r="E39" s="4">
        <f t="shared" si="10"/>
        <v>89.290724999236531</v>
      </c>
      <c r="F39" s="4">
        <f t="shared" si="9"/>
        <v>98.616980125305844</v>
      </c>
      <c r="G39" s="4">
        <f t="shared" si="11"/>
        <v>84.694127848124538</v>
      </c>
      <c r="J39" s="4"/>
      <c r="K39" s="4"/>
      <c r="L39" s="4">
        <f t="shared" si="12"/>
        <v>0.20002793045284747</v>
      </c>
      <c r="M39" s="4">
        <f t="shared" si="7"/>
        <v>0.20177481052398627</v>
      </c>
    </row>
    <row r="40" spans="1:13" x14ac:dyDescent="0.2">
      <c r="A40">
        <f t="shared" si="13"/>
        <v>0.47000000000000014</v>
      </c>
      <c r="B40" s="4">
        <f t="shared" si="2"/>
        <v>0.01</v>
      </c>
      <c r="C40" s="4">
        <f t="shared" si="3"/>
        <v>0.01</v>
      </c>
      <c r="D40" s="4">
        <f t="shared" si="4"/>
        <v>0.01</v>
      </c>
      <c r="E40" s="4">
        <f t="shared" si="10"/>
        <v>73.364224682218364</v>
      </c>
      <c r="F40" s="4">
        <f t="shared" si="9"/>
        <v>78.852492590314796</v>
      </c>
      <c r="G40" s="4">
        <f t="shared" si="11"/>
        <v>57.595954992655741</v>
      </c>
      <c r="J40" s="4"/>
      <c r="K40" s="4"/>
      <c r="L40" s="4">
        <f t="shared" si="12"/>
        <v>0.33877299071732209</v>
      </c>
      <c r="M40" s="4">
        <f t="shared" si="7"/>
        <v>0.33663523668327061</v>
      </c>
    </row>
    <row r="41" spans="1:13" x14ac:dyDescent="0.2">
      <c r="A41">
        <f t="shared" si="13"/>
        <v>0.48000000000000015</v>
      </c>
      <c r="B41" s="4">
        <f t="shared" si="2"/>
        <v>0.01</v>
      </c>
      <c r="C41" s="4">
        <f t="shared" si="3"/>
        <v>0.01</v>
      </c>
      <c r="D41" s="4">
        <f t="shared" si="4"/>
        <v>0.01</v>
      </c>
      <c r="E41" s="4">
        <f t="shared" si="10"/>
        <v>60.786857240137302</v>
      </c>
      <c r="F41" s="4">
        <f t="shared" si="9"/>
        <v>63.346741504455025</v>
      </c>
      <c r="G41" s="4">
        <f t="shared" si="11"/>
        <v>32.986488066409507</v>
      </c>
      <c r="J41" s="4"/>
      <c r="K41" s="4"/>
      <c r="L41" s="4">
        <f t="shared" si="12"/>
        <v>0.56097733858009458</v>
      </c>
      <c r="M41" s="4">
        <f t="shared" si="7"/>
        <v>0.55561249472393204</v>
      </c>
    </row>
    <row r="42" spans="1:13" x14ac:dyDescent="0.2">
      <c r="A42">
        <f t="shared" si="13"/>
        <v>0.49000000000000016</v>
      </c>
      <c r="B42" s="4">
        <f t="shared" si="2"/>
        <v>0.01</v>
      </c>
      <c r="C42" s="4">
        <f t="shared" si="3"/>
        <v>0.01</v>
      </c>
      <c r="D42" s="4">
        <f t="shared" si="4"/>
        <v>0.01</v>
      </c>
      <c r="E42" s="4">
        <f t="shared" si="10"/>
        <v>50.755525347897169</v>
      </c>
      <c r="F42" s="4">
        <f t="shared" si="9"/>
        <v>51.120361525637634</v>
      </c>
      <c r="G42" s="4">
        <f t="shared" si="11"/>
        <v>7.6324608231608195</v>
      </c>
      <c r="J42" s="4"/>
      <c r="K42" s="4"/>
      <c r="L42" s="4">
        <f t="shared" si="12"/>
        <v>0.90991826383076169</v>
      </c>
      <c r="M42" s="4">
        <f t="shared" si="7"/>
        <v>0.90760579218620185</v>
      </c>
    </row>
    <row r="43" spans="1:13" x14ac:dyDescent="0.2">
      <c r="A43">
        <f t="shared" si="13"/>
        <v>0.50000000000000011</v>
      </c>
      <c r="B43" s="4">
        <f t="shared" si="2"/>
        <v>0.01</v>
      </c>
      <c r="C43" s="4">
        <f t="shared" si="3"/>
        <v>0.01</v>
      </c>
      <c r="D43" s="4">
        <f t="shared" si="4"/>
        <v>0.01</v>
      </c>
      <c r="E43" s="4">
        <f t="shared" si="10"/>
        <v>0.01</v>
      </c>
      <c r="F43" s="4">
        <f t="shared" si="9"/>
        <v>0.01</v>
      </c>
      <c r="G43" s="4">
        <f t="shared" si="11"/>
        <v>0.01</v>
      </c>
      <c r="J43" s="4"/>
      <c r="K43" s="4"/>
      <c r="L43" s="4">
        <f t="shared" si="12"/>
        <v>1</v>
      </c>
      <c r="M43" s="4">
        <f t="shared" si="7"/>
        <v>1</v>
      </c>
    </row>
    <row r="44" spans="1:13" x14ac:dyDescent="0.2">
      <c r="A44">
        <f t="shared" si="13"/>
        <v>0.51000000000000012</v>
      </c>
      <c r="B44" s="4">
        <f t="shared" si="2"/>
        <v>0.01</v>
      </c>
      <c r="C44" s="4">
        <f t="shared" si="3"/>
        <v>0.01</v>
      </c>
      <c r="D44" s="4">
        <f t="shared" si="4"/>
        <v>0.01</v>
      </c>
      <c r="E44" s="4">
        <f t="shared" si="10"/>
        <v>0.01</v>
      </c>
      <c r="F44" s="4">
        <f t="shared" si="9"/>
        <v>0.01</v>
      </c>
      <c r="G44" s="4">
        <f t="shared" si="11"/>
        <v>0.01</v>
      </c>
      <c r="J44" s="4"/>
      <c r="K44" s="4"/>
      <c r="L44" s="4"/>
      <c r="M44" s="4"/>
    </row>
    <row r="45" spans="1:13" x14ac:dyDescent="0.2">
      <c r="A45">
        <f>A44+0.01</f>
        <v>0.52000000000000013</v>
      </c>
      <c r="B45" s="4">
        <f t="shared" si="2"/>
        <v>0.01</v>
      </c>
      <c r="C45" s="4">
        <f t="shared" si="3"/>
        <v>0.01</v>
      </c>
      <c r="D45" s="4">
        <f t="shared" si="4"/>
        <v>0.01</v>
      </c>
      <c r="E45" s="4">
        <f t="shared" si="10"/>
        <v>0.01</v>
      </c>
      <c r="F45" s="4">
        <f t="shared" si="9"/>
        <v>0.01</v>
      </c>
      <c r="G45" s="4">
        <f t="shared" si="11"/>
        <v>0.01</v>
      </c>
      <c r="J45" s="4"/>
      <c r="K45" s="4"/>
      <c r="L45" s="4"/>
      <c r="M45" s="4"/>
    </row>
    <row r="46" spans="1:13" x14ac:dyDescent="0.2">
      <c r="D46" s="4"/>
      <c r="E46" s="4"/>
      <c r="F46" s="4"/>
      <c r="G46" s="4"/>
    </row>
    <row r="47" spans="1:13" x14ac:dyDescent="0.2">
      <c r="A47">
        <v>0.36499999999999999</v>
      </c>
      <c r="B47" s="4">
        <f>IF($A47&lt;B$7,B$8*(((B$7-B$10)/($A47-B$10))^B$9),0.01)</f>
        <v>48.798791212211199</v>
      </c>
      <c r="C47" s="4">
        <f>IF($A47&lt;C$7,C$8*((C$7/$A47)^C$9),0.01)</f>
        <v>51.501374136475611</v>
      </c>
      <c r="D47" s="4">
        <f t="shared" si="4"/>
        <v>53.181469783227833</v>
      </c>
      <c r="E47" s="4">
        <f>IF($A47&lt;E$7,E$8*(((E$7-E$10)/($A47-E$10))^E$9),0.01)</f>
        <v>1090.6993136157437</v>
      </c>
      <c r="F47" s="4">
        <f>IF($A47&lt;F$7,F$8*((F$7/$A47)^F$9),0.01)</f>
        <v>1093.4208687351336</v>
      </c>
      <c r="G47" s="4">
        <f t="shared" si="11"/>
        <v>1010.9437195248786</v>
      </c>
    </row>
    <row r="51" spans="10:11" x14ac:dyDescent="0.2">
      <c r="J51">
        <v>0.20799999999999999</v>
      </c>
      <c r="K51" t="s">
        <v>37</v>
      </c>
    </row>
    <row r="52" spans="10:11" x14ac:dyDescent="0.2">
      <c r="J52">
        <f>J51*10*60</f>
        <v>124.80000000000001</v>
      </c>
    </row>
  </sheetData>
  <mergeCells count="8">
    <mergeCell ref="B6:D6"/>
    <mergeCell ref="E6:G6"/>
    <mergeCell ref="L9:M9"/>
    <mergeCell ref="J15:K15"/>
    <mergeCell ref="L15:M15"/>
    <mergeCell ref="B15:C15"/>
    <mergeCell ref="E15:F15"/>
    <mergeCell ref="J9:K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C867E-8523-074F-A023-2C4C5F80DEA6}">
  <dimension ref="A1:W62"/>
  <sheetViews>
    <sheetView topLeftCell="B14" workbookViewId="0">
      <selection activeCell="Q62" sqref="Q62"/>
    </sheetView>
  </sheetViews>
  <sheetFormatPr baseColWidth="10" defaultRowHeight="16" x14ac:dyDescent="0.2"/>
  <cols>
    <col min="2" max="2" width="14" customWidth="1"/>
    <col min="3" max="3" width="12.83203125" customWidth="1"/>
    <col min="4" max="4" width="15.5" customWidth="1"/>
    <col min="5" max="6" width="12.83203125" customWidth="1"/>
    <col min="7" max="7" width="5" customWidth="1"/>
    <col min="8" max="8" width="5.5" customWidth="1"/>
    <col min="11" max="11" width="12" customWidth="1"/>
    <col min="13" max="13" width="11.83203125" customWidth="1"/>
  </cols>
  <sheetData>
    <row r="1" spans="1:23" x14ac:dyDescent="0.2">
      <c r="B1" t="s">
        <v>0</v>
      </c>
    </row>
    <row r="2" spans="1:23" x14ac:dyDescent="0.2">
      <c r="B2" s="1">
        <v>46235</v>
      </c>
      <c r="I2" t="s">
        <v>31</v>
      </c>
      <c r="V2" s="3"/>
      <c r="W2" s="3"/>
    </row>
    <row r="3" spans="1:23" x14ac:dyDescent="0.2">
      <c r="B3" t="s">
        <v>1</v>
      </c>
      <c r="V3" s="3"/>
      <c r="W3" s="3" t="s">
        <v>11</v>
      </c>
    </row>
    <row r="4" spans="1:23" x14ac:dyDescent="0.2">
      <c r="V4" s="3"/>
      <c r="W4" s="3"/>
    </row>
    <row r="5" spans="1:23" x14ac:dyDescent="0.2">
      <c r="C5" s="2" t="s">
        <v>54</v>
      </c>
      <c r="D5" s="2" t="s">
        <v>3</v>
      </c>
      <c r="E5" s="2" t="s">
        <v>4</v>
      </c>
      <c r="F5" s="2" t="s">
        <v>54</v>
      </c>
      <c r="V5" s="3"/>
      <c r="W5" s="3"/>
    </row>
    <row r="6" spans="1:23" x14ac:dyDescent="0.2">
      <c r="C6" s="2"/>
      <c r="D6" s="17" t="s">
        <v>29</v>
      </c>
      <c r="E6" s="17"/>
      <c r="F6" s="17"/>
      <c r="V6" s="3"/>
      <c r="W6" s="3"/>
    </row>
    <row r="7" spans="1:23" x14ac:dyDescent="0.2">
      <c r="B7" t="s">
        <v>13</v>
      </c>
      <c r="C7">
        <v>0.5</v>
      </c>
      <c r="D7">
        <v>0.49199999999999999</v>
      </c>
      <c r="E7">
        <v>0.49199999999999999</v>
      </c>
      <c r="F7">
        <v>0.49199999999999999</v>
      </c>
      <c r="V7" s="3"/>
      <c r="W7" s="3"/>
    </row>
    <row r="8" spans="1:23" x14ac:dyDescent="0.2">
      <c r="B8" t="s">
        <v>44</v>
      </c>
      <c r="D8">
        <v>49</v>
      </c>
      <c r="E8">
        <v>49</v>
      </c>
      <c r="I8" s="4"/>
      <c r="J8" s="4"/>
      <c r="V8" s="3"/>
      <c r="W8" s="3"/>
    </row>
    <row r="9" spans="1:23" x14ac:dyDescent="0.2">
      <c r="B9" t="s">
        <v>5</v>
      </c>
      <c r="D9">
        <v>4.4000000000000004</v>
      </c>
      <c r="E9" s="5">
        <v>10.4</v>
      </c>
      <c r="H9" s="2"/>
      <c r="V9" s="3"/>
      <c r="W9" s="3" t="s">
        <v>20</v>
      </c>
    </row>
    <row r="10" spans="1:23" x14ac:dyDescent="0.2">
      <c r="B10" t="s">
        <v>7</v>
      </c>
      <c r="C10">
        <v>0.1</v>
      </c>
      <c r="D10">
        <v>0.24099999999999999</v>
      </c>
      <c r="E10">
        <v>0.24099999999999999</v>
      </c>
      <c r="F10">
        <v>0.24099999999999999</v>
      </c>
      <c r="V10" s="3"/>
      <c r="W10" s="3"/>
    </row>
    <row r="11" spans="1:23" x14ac:dyDescent="0.2">
      <c r="B11" t="s">
        <v>55</v>
      </c>
      <c r="C11">
        <v>5.0000000000000001E-3</v>
      </c>
      <c r="F11">
        <v>0.01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 t="s">
        <v>8</v>
      </c>
      <c r="U11" s="3"/>
      <c r="V11" s="3"/>
      <c r="W11" s="3">
        <v>4.5999999999999999E-2</v>
      </c>
    </row>
    <row r="12" spans="1:23" x14ac:dyDescent="0.2">
      <c r="B12" t="s">
        <v>56</v>
      </c>
      <c r="C12">
        <f>1-1/C13</f>
        <v>0.5</v>
      </c>
      <c r="F12">
        <f>1-1/F13</f>
        <v>0.23076923076923084</v>
      </c>
      <c r="I12" s="3" t="s">
        <v>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 t="s">
        <v>10</v>
      </c>
      <c r="U12" s="3"/>
      <c r="V12" s="3"/>
      <c r="W12" s="3">
        <v>4.9000000000000002E-2</v>
      </c>
    </row>
    <row r="13" spans="1:23" x14ac:dyDescent="0.2">
      <c r="B13" t="s">
        <v>57</v>
      </c>
      <c r="C13">
        <v>2</v>
      </c>
      <c r="F13">
        <v>1.3</v>
      </c>
      <c r="I13" s="3" t="s">
        <v>12</v>
      </c>
      <c r="J13" s="3" t="s">
        <v>13</v>
      </c>
      <c r="K13" s="3" t="s">
        <v>36</v>
      </c>
      <c r="L13" s="3" t="s">
        <v>38</v>
      </c>
      <c r="M13" s="3" t="s">
        <v>35</v>
      </c>
      <c r="N13" s="3" t="s">
        <v>14</v>
      </c>
      <c r="O13" s="3" t="s">
        <v>15</v>
      </c>
      <c r="P13" s="3" t="s">
        <v>5</v>
      </c>
      <c r="Q13" s="3" t="s">
        <v>16</v>
      </c>
      <c r="R13" s="3" t="s">
        <v>17</v>
      </c>
      <c r="S13" s="3" t="s">
        <v>18</v>
      </c>
      <c r="T13" s="3" t="s">
        <v>18</v>
      </c>
      <c r="U13" s="3" t="s">
        <v>19</v>
      </c>
      <c r="V13" s="3"/>
      <c r="W13" s="3">
        <v>8.5999999999999993E-2</v>
      </c>
    </row>
    <row r="14" spans="1:23" x14ac:dyDescent="0.2">
      <c r="I14" s="3" t="s">
        <v>21</v>
      </c>
      <c r="J14" s="3">
        <v>0.39500000000000002</v>
      </c>
      <c r="K14" s="3">
        <v>1.056</v>
      </c>
      <c r="L14" s="7">
        <f>K14*10*60</f>
        <v>633.6</v>
      </c>
      <c r="M14" s="6">
        <f>K14*60*24</f>
        <v>1520.6399999999999</v>
      </c>
      <c r="N14" s="3">
        <v>12.1</v>
      </c>
      <c r="O14" s="3">
        <v>1187</v>
      </c>
      <c r="P14" s="3">
        <v>4.05</v>
      </c>
      <c r="Q14" s="3">
        <v>0.44</v>
      </c>
      <c r="R14" s="3">
        <v>0.17</v>
      </c>
      <c r="S14" s="3">
        <v>0.17</v>
      </c>
      <c r="T14" s="3">
        <v>0.188</v>
      </c>
      <c r="U14" s="3">
        <v>6.8000000000000005E-2</v>
      </c>
      <c r="V14" s="3"/>
      <c r="W14" s="3">
        <v>0.16</v>
      </c>
    </row>
    <row r="15" spans="1:23" x14ac:dyDescent="0.2">
      <c r="C15" s="2"/>
      <c r="D15" s="17"/>
      <c r="E15" s="17"/>
      <c r="F15" s="2"/>
      <c r="H15" s="2"/>
      <c r="I15" s="3" t="s">
        <v>22</v>
      </c>
      <c r="J15" s="3">
        <v>0.41</v>
      </c>
      <c r="K15" s="3">
        <v>0.93799999999999994</v>
      </c>
      <c r="L15" s="7">
        <f t="shared" ref="L15:L24" si="0">K15*10*60</f>
        <v>562.79999999999995</v>
      </c>
      <c r="M15" s="6">
        <f t="shared" ref="M15:M24" si="1">K15*60*24</f>
        <v>1350.7199999999998</v>
      </c>
      <c r="N15" s="3">
        <v>9</v>
      </c>
      <c r="O15" s="3">
        <v>883</v>
      </c>
      <c r="P15" s="3">
        <v>4.38</v>
      </c>
      <c r="Q15" s="3">
        <v>0.44</v>
      </c>
      <c r="R15" s="3">
        <v>0.18</v>
      </c>
      <c r="S15" s="3">
        <v>0.18</v>
      </c>
      <c r="T15" s="3">
        <v>0.20300000000000001</v>
      </c>
      <c r="U15" s="3">
        <v>7.4999999999999997E-2</v>
      </c>
      <c r="V15" s="3"/>
      <c r="W15" s="3"/>
    </row>
    <row r="16" spans="1:23" x14ac:dyDescent="0.2">
      <c r="A16" t="s">
        <v>96</v>
      </c>
      <c r="B16" s="2" t="s">
        <v>2</v>
      </c>
      <c r="C16" s="2" t="s">
        <v>54</v>
      </c>
      <c r="D16" s="2" t="s">
        <v>87</v>
      </c>
      <c r="E16" s="2"/>
      <c r="F16" s="2"/>
      <c r="H16" s="2"/>
      <c r="I16" s="3" t="s">
        <v>23</v>
      </c>
      <c r="J16" s="3">
        <v>0.435</v>
      </c>
      <c r="K16" s="3">
        <v>0.20799999999999999</v>
      </c>
      <c r="L16" s="7">
        <f t="shared" si="0"/>
        <v>124.80000000000001</v>
      </c>
      <c r="M16" s="6">
        <f t="shared" si="1"/>
        <v>299.52</v>
      </c>
      <c r="N16" s="3">
        <v>21.8</v>
      </c>
      <c r="O16" s="3">
        <v>2139</v>
      </c>
      <c r="P16" s="3">
        <v>4.9000000000000004</v>
      </c>
      <c r="Q16" s="3">
        <v>0.56999999999999995</v>
      </c>
      <c r="R16" s="3">
        <v>0.26</v>
      </c>
      <c r="S16" s="3">
        <v>0.25</v>
      </c>
      <c r="T16" s="3">
        <v>0.26600000000000001</v>
      </c>
      <c r="U16" s="3">
        <v>0.114</v>
      </c>
      <c r="V16" s="3"/>
      <c r="W16" s="3"/>
    </row>
    <row r="17" spans="1:23" x14ac:dyDescent="0.2">
      <c r="A17">
        <f>B17/$C$7</f>
        <v>0.20019999999999999</v>
      </c>
      <c r="B17">
        <v>0.10009999999999999</v>
      </c>
      <c r="C17" s="4">
        <f>IF($B17&lt;C$7,(1/C$11)*(1/((($B17-C$10)/(C$7-C$10))^(1/C$12))-1)^(1/C$13),0.01)</f>
        <v>799999.97500008764</v>
      </c>
      <c r="D17" s="4">
        <v>0.1</v>
      </c>
      <c r="E17" s="4">
        <v>1</v>
      </c>
      <c r="F17" s="4"/>
      <c r="I17" s="3" t="s">
        <v>24</v>
      </c>
      <c r="J17" s="3">
        <v>0.48499999999999999</v>
      </c>
      <c r="K17" s="3">
        <v>4.3200000000000002E-2</v>
      </c>
      <c r="L17" s="7">
        <f t="shared" si="0"/>
        <v>25.92</v>
      </c>
      <c r="M17" s="6">
        <f t="shared" si="1"/>
        <v>62.207999999999998</v>
      </c>
      <c r="N17" s="3">
        <v>78.599999999999994</v>
      </c>
      <c r="O17" s="3">
        <v>7711</v>
      </c>
      <c r="P17" s="3">
        <v>5.3</v>
      </c>
      <c r="Q17" s="3">
        <v>0.76</v>
      </c>
      <c r="R17" s="3">
        <v>0.37</v>
      </c>
      <c r="S17" s="3">
        <v>0.37</v>
      </c>
      <c r="T17" s="3">
        <v>0.36499999999999999</v>
      </c>
      <c r="U17" s="3">
        <v>0.17899999999999999</v>
      </c>
      <c r="V17" s="3"/>
      <c r="W17" s="3"/>
    </row>
    <row r="18" spans="1:23" x14ac:dyDescent="0.2">
      <c r="A18">
        <f t="shared" ref="A18:A62" si="2">B18/$C$7</f>
        <v>0.20200000000000001</v>
      </c>
      <c r="B18">
        <v>0.10100000000000001</v>
      </c>
      <c r="C18" s="4">
        <f t="shared" ref="C18:C62" si="3">IF($B18&lt;C$7,(1/C$11)*(1/((($B18-C$10)/(C$7-C$10))^(1/C$12))-1)^(1/C$13),0.01)</f>
        <v>79999.749999609296</v>
      </c>
      <c r="D18" s="4">
        <v>0.1</v>
      </c>
      <c r="E18" s="4">
        <v>100000</v>
      </c>
      <c r="F18" s="4"/>
      <c r="I18" s="3" t="s">
        <v>25</v>
      </c>
      <c r="J18" s="3">
        <v>0.45100000000000001</v>
      </c>
      <c r="K18" s="3">
        <v>4.1700000000000001E-2</v>
      </c>
      <c r="L18" s="7">
        <f t="shared" si="0"/>
        <v>25.020000000000003</v>
      </c>
      <c r="M18" s="6">
        <f t="shared" si="1"/>
        <v>60.048000000000002</v>
      </c>
      <c r="N18" s="3">
        <v>47.8</v>
      </c>
      <c r="O18" s="3">
        <v>4689</v>
      </c>
      <c r="P18" s="3">
        <v>5.39</v>
      </c>
      <c r="Q18" s="3">
        <v>0.7</v>
      </c>
      <c r="R18" s="3">
        <v>0.34</v>
      </c>
      <c r="S18" s="3">
        <v>0.31</v>
      </c>
      <c r="T18" s="3">
        <v>0.32400000000000001</v>
      </c>
      <c r="U18" s="3">
        <v>0.155</v>
      </c>
      <c r="V18" s="3"/>
      <c r="W18" s="3"/>
    </row>
    <row r="19" spans="1:23" x14ac:dyDescent="0.2">
      <c r="A19">
        <f t="shared" si="2"/>
        <v>0.20399999999999999</v>
      </c>
      <c r="B19">
        <v>0.10199999999999999</v>
      </c>
      <c r="C19" s="4">
        <f t="shared" si="3"/>
        <v>39999.499996875202</v>
      </c>
      <c r="D19" s="4"/>
      <c r="E19" s="4"/>
      <c r="F19" s="4"/>
      <c r="I19" s="3" t="s">
        <v>26</v>
      </c>
      <c r="J19" s="3">
        <v>0.42</v>
      </c>
      <c r="K19" s="3">
        <v>3.78E-2</v>
      </c>
      <c r="L19" s="7">
        <f t="shared" si="0"/>
        <v>22.68</v>
      </c>
      <c r="M19" s="6">
        <f t="shared" si="1"/>
        <v>54.431999999999995</v>
      </c>
      <c r="N19" s="3">
        <v>29.9</v>
      </c>
      <c r="O19" s="3">
        <v>2933</v>
      </c>
      <c r="P19" s="3">
        <v>7.12</v>
      </c>
      <c r="Q19" s="3">
        <v>0.71</v>
      </c>
      <c r="R19" s="3">
        <v>0.42</v>
      </c>
      <c r="S19" s="3">
        <v>0.3</v>
      </c>
      <c r="T19" s="3">
        <v>0.317</v>
      </c>
      <c r="U19" s="3">
        <v>0.17499999999999999</v>
      </c>
      <c r="V19" s="3"/>
      <c r="W19" s="3"/>
    </row>
    <row r="20" spans="1:23" x14ac:dyDescent="0.2">
      <c r="A20">
        <f t="shared" si="2"/>
        <v>0.20799999999999999</v>
      </c>
      <c r="B20">
        <v>0.104</v>
      </c>
      <c r="C20" s="4">
        <f t="shared" si="3"/>
        <v>19998.999974998802</v>
      </c>
      <c r="D20" s="4" t="s">
        <v>88</v>
      </c>
      <c r="E20" s="4"/>
      <c r="F20" s="4"/>
      <c r="I20" s="3" t="s">
        <v>27</v>
      </c>
      <c r="J20" s="3">
        <v>0.47699999999999998</v>
      </c>
      <c r="K20" s="3">
        <v>1.0200000000000001E-2</v>
      </c>
      <c r="L20" s="7">
        <f t="shared" si="0"/>
        <v>6.12</v>
      </c>
      <c r="M20" s="6">
        <f t="shared" si="1"/>
        <v>14.688000000000002</v>
      </c>
      <c r="N20" s="3">
        <v>35.6</v>
      </c>
      <c r="O20" s="3">
        <v>3492</v>
      </c>
      <c r="P20" s="3">
        <v>7.75</v>
      </c>
      <c r="Q20" s="3">
        <v>0.75</v>
      </c>
      <c r="R20" s="3">
        <v>0.46</v>
      </c>
      <c r="S20" s="3">
        <v>0.36</v>
      </c>
      <c r="T20" s="3">
        <v>0.39700000000000002</v>
      </c>
      <c r="U20" s="3">
        <v>0.218</v>
      </c>
      <c r="V20" s="3"/>
      <c r="W20" s="3"/>
    </row>
    <row r="21" spans="1:23" x14ac:dyDescent="0.2">
      <c r="A21">
        <f t="shared" si="2"/>
        <v>0.216</v>
      </c>
      <c r="B21">
        <v>0.108</v>
      </c>
      <c r="C21" s="4">
        <f t="shared" si="3"/>
        <v>9997.9997999599982</v>
      </c>
      <c r="D21" s="4">
        <v>0.25</v>
      </c>
      <c r="E21" s="4">
        <v>340</v>
      </c>
      <c r="F21" s="4"/>
      <c r="I21" s="3" t="s">
        <v>28</v>
      </c>
      <c r="J21" s="3">
        <v>0.47599999999999998</v>
      </c>
      <c r="K21" s="3">
        <v>1.47E-2</v>
      </c>
      <c r="L21" s="7">
        <f t="shared" si="0"/>
        <v>8.82</v>
      </c>
      <c r="M21" s="6">
        <f t="shared" si="1"/>
        <v>21.167999999999999</v>
      </c>
      <c r="N21" s="3">
        <v>63</v>
      </c>
      <c r="O21" s="3">
        <v>6180</v>
      </c>
      <c r="P21" s="3">
        <v>8.52</v>
      </c>
      <c r="Q21" s="3">
        <v>0.82</v>
      </c>
      <c r="R21" s="3">
        <v>0.52</v>
      </c>
      <c r="S21" s="3">
        <v>0.39</v>
      </c>
      <c r="T21" s="3">
        <v>0.40200000000000002</v>
      </c>
      <c r="U21" s="3">
        <v>0.25</v>
      </c>
      <c r="V21" s="3"/>
      <c r="W21" s="3"/>
    </row>
    <row r="22" spans="1:23" x14ac:dyDescent="0.2">
      <c r="A22">
        <f t="shared" si="2"/>
        <v>0.22</v>
      </c>
      <c r="B22">
        <v>0.11</v>
      </c>
      <c r="C22" s="4">
        <f t="shared" si="3"/>
        <v>7997.4996092528854</v>
      </c>
      <c r="D22" s="4">
        <v>0.35</v>
      </c>
      <c r="E22" s="4">
        <v>340</v>
      </c>
      <c r="F22" s="4"/>
      <c r="I22" s="3" t="s">
        <v>26</v>
      </c>
      <c r="J22" s="3">
        <v>0.42599999999999999</v>
      </c>
      <c r="K22" s="3">
        <v>1.2999999999999999E-2</v>
      </c>
      <c r="L22" s="7">
        <f t="shared" si="0"/>
        <v>7.8000000000000007</v>
      </c>
      <c r="M22" s="6">
        <f t="shared" si="1"/>
        <v>18.72</v>
      </c>
      <c r="N22" s="3">
        <v>15.3</v>
      </c>
      <c r="O22" s="3">
        <v>1501</v>
      </c>
      <c r="P22" s="3">
        <v>10.4</v>
      </c>
      <c r="Q22" s="3">
        <v>0.74</v>
      </c>
      <c r="R22" s="3">
        <v>0.51</v>
      </c>
      <c r="S22" s="3">
        <v>0.32</v>
      </c>
      <c r="T22" s="3">
        <v>0.35799999999999998</v>
      </c>
      <c r="U22" s="3">
        <v>0.219</v>
      </c>
    </row>
    <row r="23" spans="1:23" x14ac:dyDescent="0.2">
      <c r="A23">
        <f t="shared" si="2"/>
        <v>0.24</v>
      </c>
      <c r="B23">
        <f>B22+0.01</f>
        <v>0.12</v>
      </c>
      <c r="C23" s="4">
        <f t="shared" si="3"/>
        <v>3994.9968710876378</v>
      </c>
      <c r="D23" s="4"/>
      <c r="E23" s="4"/>
      <c r="F23" s="4"/>
      <c r="I23" s="3" t="s">
        <v>29</v>
      </c>
      <c r="J23" s="3">
        <v>0.49199999999999999</v>
      </c>
      <c r="K23" s="3">
        <v>6.1999999999999998E-3</v>
      </c>
      <c r="L23" s="8">
        <f t="shared" si="0"/>
        <v>3.7199999999999998</v>
      </c>
      <c r="M23" s="6">
        <f t="shared" si="1"/>
        <v>8.9280000000000008</v>
      </c>
      <c r="N23" s="3">
        <v>49</v>
      </c>
      <c r="O23" s="3">
        <v>4807</v>
      </c>
      <c r="P23" s="3">
        <v>10.4</v>
      </c>
      <c r="Q23" s="3">
        <v>0.83</v>
      </c>
      <c r="R23" s="3">
        <v>0.57999999999999996</v>
      </c>
      <c r="S23" s="3">
        <v>0.41</v>
      </c>
      <c r="T23" s="3">
        <v>0.433</v>
      </c>
      <c r="U23" s="3">
        <v>0.28299999999999997</v>
      </c>
    </row>
    <row r="24" spans="1:23" x14ac:dyDescent="0.2">
      <c r="A24">
        <f t="shared" si="2"/>
        <v>0.26</v>
      </c>
      <c r="B24">
        <f t="shared" ref="B24:B60" si="4">B23+0.01</f>
        <v>0.13</v>
      </c>
      <c r="C24" s="4">
        <f t="shared" si="3"/>
        <v>2659.1560900238837</v>
      </c>
      <c r="D24" s="4"/>
      <c r="E24" s="4"/>
      <c r="F24" s="4"/>
      <c r="I24" s="3" t="s">
        <v>30</v>
      </c>
      <c r="J24" s="3">
        <v>0.48199999999999998</v>
      </c>
      <c r="K24" s="3">
        <v>7.7000000000000002E-3</v>
      </c>
      <c r="L24" s="7">
        <f t="shared" si="0"/>
        <v>4.62</v>
      </c>
      <c r="M24" s="6">
        <f t="shared" si="1"/>
        <v>11.088000000000001</v>
      </c>
      <c r="N24" s="3">
        <v>40.5</v>
      </c>
      <c r="O24" s="3">
        <v>3973</v>
      </c>
      <c r="P24" s="3">
        <v>11.4</v>
      </c>
      <c r="Q24" s="3">
        <v>0.83</v>
      </c>
      <c r="R24" s="3">
        <v>0.59</v>
      </c>
      <c r="S24" s="3">
        <v>0.4</v>
      </c>
      <c r="T24" s="3">
        <v>0.42499999999999999</v>
      </c>
      <c r="U24" s="3">
        <v>0.28599999999999998</v>
      </c>
    </row>
    <row r="25" spans="1:23" x14ac:dyDescent="0.2">
      <c r="A25">
        <f t="shared" si="2"/>
        <v>0.28000000000000003</v>
      </c>
      <c r="B25">
        <f t="shared" si="4"/>
        <v>0.14000000000000001</v>
      </c>
      <c r="C25" s="4">
        <f t="shared" si="3"/>
        <v>1989.9748742132394</v>
      </c>
      <c r="D25" s="4" t="s">
        <v>89</v>
      </c>
      <c r="E25" s="4"/>
      <c r="F25" s="4"/>
    </row>
    <row r="26" spans="1:23" x14ac:dyDescent="0.2">
      <c r="A26">
        <f t="shared" si="2"/>
        <v>0.30000000000000004</v>
      </c>
      <c r="B26">
        <f t="shared" si="4"/>
        <v>0.15000000000000002</v>
      </c>
      <c r="C26" s="4">
        <f t="shared" si="3"/>
        <v>1587.4507866387542</v>
      </c>
      <c r="D26" s="4">
        <v>0.08</v>
      </c>
      <c r="E26" s="4">
        <v>20000</v>
      </c>
      <c r="F26" s="4"/>
    </row>
    <row r="27" spans="1:23" x14ac:dyDescent="0.2">
      <c r="A27">
        <f t="shared" si="2"/>
        <v>0.32000000000000006</v>
      </c>
      <c r="B27">
        <f t="shared" si="4"/>
        <v>0.16000000000000003</v>
      </c>
      <c r="C27" s="4">
        <f t="shared" si="3"/>
        <v>1318.2479955523454</v>
      </c>
      <c r="D27" s="4">
        <v>0.12</v>
      </c>
      <c r="E27" s="4">
        <v>20000</v>
      </c>
      <c r="F27" s="4"/>
    </row>
    <row r="28" spans="1:23" x14ac:dyDescent="0.2">
      <c r="A28">
        <f t="shared" si="2"/>
        <v>0.34000000000000008</v>
      </c>
      <c r="B28">
        <f t="shared" si="4"/>
        <v>0.17000000000000004</v>
      </c>
      <c r="C28" s="4">
        <f t="shared" si="3"/>
        <v>1125.2210667151548</v>
      </c>
      <c r="D28" s="4"/>
      <c r="E28" s="4"/>
      <c r="F28" s="4"/>
    </row>
    <row r="29" spans="1:23" x14ac:dyDescent="0.2">
      <c r="A29">
        <f t="shared" si="2"/>
        <v>0.3600000000000001</v>
      </c>
      <c r="B29">
        <f t="shared" si="4"/>
        <v>0.18000000000000005</v>
      </c>
      <c r="C29" s="4">
        <f t="shared" si="3"/>
        <v>979.79589711327083</v>
      </c>
      <c r="D29" s="4" t="s">
        <v>90</v>
      </c>
      <c r="E29" s="4"/>
      <c r="F29" s="4"/>
    </row>
    <row r="30" spans="1:23" x14ac:dyDescent="0.2">
      <c r="A30">
        <f t="shared" si="2"/>
        <v>0.38000000000000012</v>
      </c>
      <c r="B30">
        <f t="shared" si="4"/>
        <v>0.19000000000000006</v>
      </c>
      <c r="C30" s="4">
        <f t="shared" si="3"/>
        <v>866.0966786624474</v>
      </c>
      <c r="D30" s="4">
        <v>0.47</v>
      </c>
      <c r="E30" s="4">
        <v>35</v>
      </c>
      <c r="F30" s="4"/>
    </row>
    <row r="31" spans="1:23" x14ac:dyDescent="0.2">
      <c r="A31">
        <f t="shared" si="2"/>
        <v>0.40000000000000013</v>
      </c>
      <c r="B31">
        <f t="shared" si="4"/>
        <v>0.20000000000000007</v>
      </c>
      <c r="C31" s="4">
        <f t="shared" si="3"/>
        <v>774.59666924148303</v>
      </c>
      <c r="D31" s="4">
        <v>0.53</v>
      </c>
      <c r="E31" s="4">
        <v>35</v>
      </c>
      <c r="F31" s="4"/>
    </row>
    <row r="32" spans="1:23" x14ac:dyDescent="0.2">
      <c r="A32">
        <f t="shared" si="2"/>
        <v>0.42000000000000015</v>
      </c>
      <c r="B32">
        <f t="shared" si="4"/>
        <v>0.21000000000000008</v>
      </c>
      <c r="C32" s="4">
        <f t="shared" si="3"/>
        <v>699.23216447379639</v>
      </c>
      <c r="D32" s="4"/>
      <c r="E32" s="4"/>
      <c r="F32" s="4"/>
    </row>
    <row r="33" spans="1:6" x14ac:dyDescent="0.2">
      <c r="A33">
        <f t="shared" si="2"/>
        <v>0.44000000000000017</v>
      </c>
      <c r="B33">
        <f t="shared" si="4"/>
        <v>0.22000000000000008</v>
      </c>
      <c r="C33" s="4">
        <f t="shared" si="3"/>
        <v>635.95946761129676</v>
      </c>
      <c r="D33" s="4"/>
      <c r="E33" s="4"/>
      <c r="F33" s="4"/>
    </row>
    <row r="34" spans="1:6" x14ac:dyDescent="0.2">
      <c r="A34">
        <f t="shared" si="2"/>
        <v>0.46000000000000019</v>
      </c>
      <c r="B34">
        <f t="shared" si="4"/>
        <v>0.23000000000000009</v>
      </c>
      <c r="C34" s="4">
        <f t="shared" si="3"/>
        <v>581.97785598085318</v>
      </c>
      <c r="D34" s="4"/>
      <c r="E34" s="4"/>
      <c r="F34" s="4"/>
    </row>
    <row r="35" spans="1:6" x14ac:dyDescent="0.2">
      <c r="A35">
        <f t="shared" si="2"/>
        <v>0.4800000000000002</v>
      </c>
      <c r="B35">
        <f t="shared" si="4"/>
        <v>0.2400000000000001</v>
      </c>
      <c r="C35" s="4">
        <f t="shared" si="3"/>
        <v>535.28554271986241</v>
      </c>
      <c r="D35" s="4"/>
      <c r="E35" s="4"/>
      <c r="F35" s="4"/>
    </row>
    <row r="36" spans="1:6" x14ac:dyDescent="0.2">
      <c r="A36">
        <f t="shared" si="2"/>
        <v>0.50000000000000022</v>
      </c>
      <c r="B36">
        <f t="shared" si="4"/>
        <v>0.25000000000000011</v>
      </c>
      <c r="C36" s="4">
        <f t="shared" si="3"/>
        <v>494.41323247304388</v>
      </c>
      <c r="D36" s="4"/>
      <c r="E36" s="4"/>
      <c r="F36" s="4"/>
    </row>
    <row r="37" spans="1:6" x14ac:dyDescent="0.2">
      <c r="A37">
        <f t="shared" si="2"/>
        <v>0.52000000000000024</v>
      </c>
      <c r="B37">
        <f t="shared" si="4"/>
        <v>0.26000000000000012</v>
      </c>
      <c r="C37" s="4">
        <f t="shared" si="3"/>
        <v>458.25756949558365</v>
      </c>
      <c r="D37" s="4"/>
      <c r="E37" s="4"/>
      <c r="F37" s="4"/>
    </row>
    <row r="38" spans="1:6" x14ac:dyDescent="0.2">
      <c r="A38">
        <f t="shared" si="2"/>
        <v>0.54000000000000026</v>
      </c>
      <c r="B38">
        <f t="shared" si="4"/>
        <v>0.27000000000000013</v>
      </c>
      <c r="C38" s="4">
        <f t="shared" si="3"/>
        <v>425.97334094662733</v>
      </c>
      <c r="D38" s="4"/>
      <c r="E38" s="4"/>
      <c r="F38" s="4"/>
    </row>
    <row r="39" spans="1:6" x14ac:dyDescent="0.2">
      <c r="A39">
        <f t="shared" si="2"/>
        <v>0.56000000000000028</v>
      </c>
      <c r="B39">
        <f t="shared" si="4"/>
        <v>0.28000000000000014</v>
      </c>
      <c r="C39" s="4">
        <f t="shared" si="3"/>
        <v>396.90157998870529</v>
      </c>
      <c r="D39" s="4"/>
      <c r="E39" s="4"/>
      <c r="F39" s="4"/>
    </row>
    <row r="40" spans="1:6" x14ac:dyDescent="0.2">
      <c r="A40">
        <f t="shared" si="2"/>
        <v>0.58000000000000029</v>
      </c>
      <c r="B40">
        <f t="shared" si="4"/>
        <v>0.29000000000000015</v>
      </c>
      <c r="C40" s="4">
        <f t="shared" si="3"/>
        <v>370.52033487995845</v>
      </c>
      <c r="D40" s="4"/>
      <c r="E40" s="4"/>
      <c r="F40" s="4"/>
    </row>
    <row r="41" spans="1:6" x14ac:dyDescent="0.2">
      <c r="A41">
        <f t="shared" si="2"/>
        <v>0.60000000000000031</v>
      </c>
      <c r="B41">
        <f t="shared" si="4"/>
        <v>0.30000000000000016</v>
      </c>
      <c r="C41" s="4">
        <f t="shared" si="3"/>
        <v>346.41016151377517</v>
      </c>
      <c r="D41" s="4"/>
      <c r="E41" s="4"/>
      <c r="F41" s="4"/>
    </row>
    <row r="42" spans="1:6" x14ac:dyDescent="0.2">
      <c r="A42">
        <f t="shared" si="2"/>
        <v>0.62000000000000033</v>
      </c>
      <c r="B42">
        <f t="shared" si="4"/>
        <v>0.31000000000000016</v>
      </c>
      <c r="C42" s="4">
        <f t="shared" si="3"/>
        <v>324.2294196295083</v>
      </c>
      <c r="D42" s="4"/>
      <c r="E42" s="4"/>
      <c r="F42" s="4"/>
    </row>
    <row r="43" spans="1:6" x14ac:dyDescent="0.2">
      <c r="A43">
        <f t="shared" si="2"/>
        <v>0.64000000000000035</v>
      </c>
      <c r="B43">
        <f t="shared" si="4"/>
        <v>0.32000000000000017</v>
      </c>
      <c r="C43" s="4">
        <f t="shared" si="3"/>
        <v>303.69623797254633</v>
      </c>
      <c r="D43" s="4"/>
      <c r="E43" s="4"/>
      <c r="F43" s="4"/>
    </row>
    <row r="44" spans="1:6" x14ac:dyDescent="0.2">
      <c r="A44">
        <f t="shared" si="2"/>
        <v>0.66000000000000036</v>
      </c>
      <c r="B44">
        <f t="shared" si="4"/>
        <v>0.33000000000000018</v>
      </c>
      <c r="C44" s="4">
        <f t="shared" si="3"/>
        <v>284.57509864267053</v>
      </c>
      <c r="D44" s="4"/>
      <c r="E44" s="4"/>
      <c r="F44" s="4"/>
    </row>
    <row r="45" spans="1:6" x14ac:dyDescent="0.2">
      <c r="A45">
        <f t="shared" si="2"/>
        <v>0.68000000000000038</v>
      </c>
      <c r="B45">
        <f t="shared" si="4"/>
        <v>0.34000000000000019</v>
      </c>
      <c r="C45" s="4">
        <f t="shared" si="3"/>
        <v>266.6666666666664</v>
      </c>
      <c r="D45" s="4"/>
      <c r="E45" s="4"/>
      <c r="F45" s="4"/>
    </row>
    <row r="46" spans="1:6" x14ac:dyDescent="0.2">
      <c r="A46">
        <f t="shared" si="2"/>
        <v>0.7000000000000004</v>
      </c>
      <c r="B46">
        <f t="shared" si="4"/>
        <v>0.3500000000000002</v>
      </c>
      <c r="C46" s="4">
        <f t="shared" si="3"/>
        <v>249.79991993593552</v>
      </c>
      <c r="D46" s="4"/>
      <c r="E46" s="4"/>
      <c r="F46" s="4"/>
    </row>
    <row r="47" spans="1:6" x14ac:dyDescent="0.2">
      <c r="A47">
        <f t="shared" si="2"/>
        <v>0.72000000000000042</v>
      </c>
      <c r="B47">
        <f t="shared" si="4"/>
        <v>0.36000000000000021</v>
      </c>
      <c r="C47" s="4">
        <f t="shared" si="3"/>
        <v>233.8259100549329</v>
      </c>
      <c r="D47" s="4"/>
      <c r="E47" s="4"/>
      <c r="F47" s="4"/>
    </row>
    <row r="48" spans="1:6" x14ac:dyDescent="0.2">
      <c r="A48">
        <f t="shared" si="2"/>
        <v>0.74000000000000044</v>
      </c>
      <c r="B48">
        <f t="shared" si="4"/>
        <v>0.37000000000000022</v>
      </c>
      <c r="C48" s="4">
        <f t="shared" si="3"/>
        <v>218.61266019812865</v>
      </c>
    </row>
    <row r="49" spans="1:3" x14ac:dyDescent="0.2">
      <c r="A49">
        <f t="shared" si="2"/>
        <v>0.76000000000000045</v>
      </c>
      <c r="B49">
        <f t="shared" si="4"/>
        <v>0.38000000000000023</v>
      </c>
      <c r="C49" s="4">
        <f t="shared" si="3"/>
        <v>204.04081224408111</v>
      </c>
    </row>
    <row r="50" spans="1:3" x14ac:dyDescent="0.2">
      <c r="A50">
        <f t="shared" si="2"/>
        <v>0.78000000000000047</v>
      </c>
      <c r="B50">
        <f t="shared" si="4"/>
        <v>0.39000000000000024</v>
      </c>
      <c r="C50" s="4">
        <f t="shared" si="3"/>
        <v>189.99968708904669</v>
      </c>
    </row>
    <row r="51" spans="1:3" x14ac:dyDescent="0.2">
      <c r="A51">
        <f t="shared" si="2"/>
        <v>0.80000000000000049</v>
      </c>
      <c r="B51">
        <f t="shared" si="4"/>
        <v>0.40000000000000024</v>
      </c>
      <c r="C51" s="4">
        <f t="shared" si="3"/>
        <v>176.38342073763903</v>
      </c>
    </row>
    <row r="52" spans="1:3" x14ac:dyDescent="0.2">
      <c r="A52">
        <f t="shared" si="2"/>
        <v>0.82000000000000051</v>
      </c>
      <c r="B52">
        <f t="shared" si="4"/>
        <v>0.41000000000000025</v>
      </c>
      <c r="C52" s="4">
        <f t="shared" si="3"/>
        <v>163.08676980341303</v>
      </c>
    </row>
    <row r="53" spans="1:3" x14ac:dyDescent="0.2">
      <c r="A53">
        <f t="shared" si="2"/>
        <v>0.84000000000000052</v>
      </c>
      <c r="B53">
        <f>B52+0.01</f>
        <v>0.42000000000000026</v>
      </c>
      <c r="C53" s="4">
        <f t="shared" si="3"/>
        <v>149.99999999999966</v>
      </c>
    </row>
    <row r="54" spans="1:3" x14ac:dyDescent="0.2">
      <c r="A54">
        <f t="shared" si="2"/>
        <v>0.86000000000000054</v>
      </c>
      <c r="B54">
        <f t="shared" si="4"/>
        <v>0.43000000000000027</v>
      </c>
      <c r="C54" s="4">
        <f t="shared" si="3"/>
        <v>137.00187339948221</v>
      </c>
    </row>
    <row r="55" spans="1:3" x14ac:dyDescent="0.2">
      <c r="A55">
        <f t="shared" si="2"/>
        <v>0.88000000000000056</v>
      </c>
      <c r="B55">
        <f t="shared" si="4"/>
        <v>0.44000000000000028</v>
      </c>
      <c r="C55" s="4">
        <f t="shared" si="3"/>
        <v>123.94886768062008</v>
      </c>
    </row>
    <row r="56" spans="1:3" x14ac:dyDescent="0.2">
      <c r="A56">
        <f t="shared" si="2"/>
        <v>0.90000000000000058</v>
      </c>
      <c r="B56">
        <f t="shared" si="4"/>
        <v>0.45000000000000029</v>
      </c>
      <c r="C56" s="4">
        <f t="shared" si="3"/>
        <v>110.65666703449722</v>
      </c>
    </row>
    <row r="57" spans="1:3" x14ac:dyDescent="0.2">
      <c r="A57">
        <f t="shared" si="2"/>
        <v>0.9200000000000006</v>
      </c>
      <c r="B57">
        <f>B56+0.01</f>
        <v>0.4600000000000003</v>
      </c>
      <c r="C57" s="4">
        <f t="shared" si="3"/>
        <v>96.864420967570098</v>
      </c>
    </row>
    <row r="58" spans="1:3" x14ac:dyDescent="0.2">
      <c r="A58">
        <f t="shared" si="2"/>
        <v>0.94000000000000061</v>
      </c>
      <c r="B58">
        <f t="shared" si="4"/>
        <v>0.47000000000000031</v>
      </c>
      <c r="C58" s="4">
        <f t="shared" si="3"/>
        <v>82.155049478759835</v>
      </c>
    </row>
    <row r="59" spans="1:3" x14ac:dyDescent="0.2">
      <c r="A59">
        <f t="shared" si="2"/>
        <v>0.96000000000000063</v>
      </c>
      <c r="B59">
        <f t="shared" si="4"/>
        <v>0.48000000000000032</v>
      </c>
      <c r="C59" s="4">
        <f t="shared" si="3"/>
        <v>65.736821035772024</v>
      </c>
    </row>
    <row r="60" spans="1:3" x14ac:dyDescent="0.2">
      <c r="A60">
        <f t="shared" si="2"/>
        <v>0.98000000000000065</v>
      </c>
      <c r="B60">
        <f t="shared" si="4"/>
        <v>0.49000000000000032</v>
      </c>
      <c r="C60" s="4">
        <f t="shared" si="3"/>
        <v>45.580484191361201</v>
      </c>
    </row>
    <row r="61" spans="1:3" x14ac:dyDescent="0.2">
      <c r="A61">
        <f t="shared" si="2"/>
        <v>0.99</v>
      </c>
      <c r="B61">
        <v>0.495</v>
      </c>
      <c r="C61" s="4">
        <f t="shared" si="3"/>
        <v>31.922835982072158</v>
      </c>
    </row>
    <row r="62" spans="1:3" x14ac:dyDescent="0.2">
      <c r="A62">
        <f t="shared" si="2"/>
        <v>1</v>
      </c>
      <c r="B62">
        <v>0.5</v>
      </c>
      <c r="C62" s="4">
        <f t="shared" si="3"/>
        <v>0.01</v>
      </c>
    </row>
  </sheetData>
  <mergeCells count="2">
    <mergeCell ref="D6:F6"/>
    <mergeCell ref="D15:E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4C40F-749E-664B-8B88-5A0672A797EF}">
  <dimension ref="B4:I27"/>
  <sheetViews>
    <sheetView workbookViewId="0">
      <selection activeCell="I28" sqref="I28"/>
    </sheetView>
  </sheetViews>
  <sheetFormatPr baseColWidth="10" defaultRowHeight="16" x14ac:dyDescent="0.2"/>
  <cols>
    <col min="2" max="2" width="15.33203125" customWidth="1"/>
    <col min="3" max="4" width="9.5" customWidth="1"/>
    <col min="5" max="5" width="13" customWidth="1"/>
    <col min="6" max="6" width="12.33203125" customWidth="1"/>
    <col min="7" max="7" width="14.83203125" customWidth="1"/>
    <col min="8" max="8" width="17.6640625" customWidth="1"/>
    <col min="9" max="9" width="11.5" customWidth="1"/>
  </cols>
  <sheetData>
    <row r="4" spans="2:9" x14ac:dyDescent="0.2">
      <c r="G4" s="17" t="s">
        <v>53</v>
      </c>
      <c r="H4" s="17"/>
    </row>
    <row r="5" spans="2:9" ht="18" x14ac:dyDescent="0.25">
      <c r="B5" s="2"/>
      <c r="C5" s="2" t="s">
        <v>60</v>
      </c>
      <c r="D5" s="2" t="s">
        <v>13</v>
      </c>
      <c r="E5" s="16" t="s">
        <v>86</v>
      </c>
      <c r="F5" s="2" t="s">
        <v>5</v>
      </c>
      <c r="G5" s="2" t="s">
        <v>51</v>
      </c>
      <c r="H5" s="2" t="s">
        <v>52</v>
      </c>
      <c r="I5" s="2" t="s">
        <v>83</v>
      </c>
    </row>
    <row r="6" spans="2:9" x14ac:dyDescent="0.2">
      <c r="B6" s="2" t="s">
        <v>12</v>
      </c>
      <c r="E6" s="2" t="s">
        <v>85</v>
      </c>
      <c r="G6" s="10" t="s">
        <v>58</v>
      </c>
      <c r="H6" s="10" t="s">
        <v>59</v>
      </c>
      <c r="I6" s="2" t="s">
        <v>84</v>
      </c>
    </row>
    <row r="7" spans="2:9" x14ac:dyDescent="0.2">
      <c r="B7" t="s">
        <v>21</v>
      </c>
      <c r="C7" s="2">
        <v>13</v>
      </c>
      <c r="D7" s="12">
        <v>0.39500000000000002</v>
      </c>
      <c r="E7" s="14" t="s">
        <v>62</v>
      </c>
      <c r="F7" s="2" t="s">
        <v>61</v>
      </c>
      <c r="G7" s="11">
        <v>0.17</v>
      </c>
      <c r="H7" s="12">
        <v>6.8000000000000005E-2</v>
      </c>
      <c r="I7" s="15">
        <v>633.6</v>
      </c>
    </row>
    <row r="8" spans="2:9" x14ac:dyDescent="0.2">
      <c r="B8" t="s">
        <v>22</v>
      </c>
      <c r="C8" s="2">
        <v>30</v>
      </c>
      <c r="D8" s="12">
        <v>0.41</v>
      </c>
      <c r="E8" s="14" t="s">
        <v>69</v>
      </c>
      <c r="F8" s="2" t="s">
        <v>73</v>
      </c>
      <c r="G8" s="11">
        <v>0.18</v>
      </c>
      <c r="H8" s="12">
        <v>7.4999999999999997E-2</v>
      </c>
      <c r="I8" s="15">
        <v>562.79999999999995</v>
      </c>
    </row>
    <row r="9" spans="2:9" x14ac:dyDescent="0.2">
      <c r="B9" t="s">
        <v>23</v>
      </c>
      <c r="C9" s="2">
        <v>204</v>
      </c>
      <c r="D9" s="12">
        <v>0.435</v>
      </c>
      <c r="E9" s="14" t="s">
        <v>63</v>
      </c>
      <c r="F9" s="2" t="s">
        <v>74</v>
      </c>
      <c r="G9" s="11">
        <v>0.25</v>
      </c>
      <c r="H9" s="11">
        <v>0.114</v>
      </c>
      <c r="I9" s="15">
        <v>124.80000000000001</v>
      </c>
    </row>
    <row r="10" spans="2:9" x14ac:dyDescent="0.2">
      <c r="B10" t="s">
        <v>24</v>
      </c>
      <c r="C10" s="2">
        <v>384</v>
      </c>
      <c r="D10" s="12">
        <v>0.48499999999999999</v>
      </c>
      <c r="E10" s="14" t="s">
        <v>64</v>
      </c>
      <c r="F10" s="10" t="s">
        <v>75</v>
      </c>
      <c r="G10" s="11">
        <v>0.37</v>
      </c>
      <c r="H10" s="11">
        <v>0.17899999999999999</v>
      </c>
      <c r="I10" s="13">
        <v>25.92</v>
      </c>
    </row>
    <row r="11" spans="2:9" x14ac:dyDescent="0.2">
      <c r="B11" t="s">
        <v>25</v>
      </c>
      <c r="C11" s="2">
        <v>125</v>
      </c>
      <c r="D11" s="12">
        <v>0.45100000000000001</v>
      </c>
      <c r="E11" s="14" t="s">
        <v>65</v>
      </c>
      <c r="F11" s="2" t="s">
        <v>76</v>
      </c>
      <c r="G11" s="11">
        <v>0.31</v>
      </c>
      <c r="H11" s="11">
        <v>0.155</v>
      </c>
      <c r="I11" s="13">
        <v>25.020000000000003</v>
      </c>
    </row>
    <row r="12" spans="2:9" x14ac:dyDescent="0.2">
      <c r="B12" t="s">
        <v>26</v>
      </c>
      <c r="C12" s="2">
        <v>80</v>
      </c>
      <c r="D12" s="12">
        <v>0.42</v>
      </c>
      <c r="E12" s="14" t="s">
        <v>66</v>
      </c>
      <c r="F12" s="2" t="s">
        <v>77</v>
      </c>
      <c r="G12" s="11">
        <v>0.3</v>
      </c>
      <c r="H12" s="11">
        <v>0.17499999999999999</v>
      </c>
      <c r="I12" s="13">
        <v>22.68</v>
      </c>
    </row>
    <row r="13" spans="2:9" x14ac:dyDescent="0.2">
      <c r="B13" t="s">
        <v>27</v>
      </c>
      <c r="C13" s="2">
        <v>147</v>
      </c>
      <c r="D13" s="12">
        <v>0.47699999999999998</v>
      </c>
      <c r="E13" s="14" t="s">
        <v>67</v>
      </c>
      <c r="F13" s="2" t="s">
        <v>78</v>
      </c>
      <c r="G13" s="11">
        <v>0.36</v>
      </c>
      <c r="H13" s="11">
        <v>0.218</v>
      </c>
      <c r="I13" s="11">
        <v>6.12</v>
      </c>
    </row>
    <row r="14" spans="2:9" x14ac:dyDescent="0.2">
      <c r="B14" t="s">
        <v>28</v>
      </c>
      <c r="C14" s="2">
        <v>262</v>
      </c>
      <c r="D14" s="12">
        <v>0.47599999999999998</v>
      </c>
      <c r="E14" s="14" t="s">
        <v>68</v>
      </c>
      <c r="F14" s="2" t="s">
        <v>79</v>
      </c>
      <c r="G14" s="11">
        <v>0.39</v>
      </c>
      <c r="H14" s="11">
        <v>0.25</v>
      </c>
      <c r="I14" s="11">
        <v>8.82</v>
      </c>
    </row>
    <row r="15" spans="2:9" x14ac:dyDescent="0.2">
      <c r="B15" t="s">
        <v>26</v>
      </c>
      <c r="C15" s="2">
        <v>19</v>
      </c>
      <c r="D15" s="12">
        <v>0.42599999999999999</v>
      </c>
      <c r="E15" s="14" t="s">
        <v>70</v>
      </c>
      <c r="F15" s="2" t="s">
        <v>80</v>
      </c>
      <c r="G15" s="11">
        <v>0.32</v>
      </c>
      <c r="H15" s="11">
        <v>0.219</v>
      </c>
      <c r="I15" s="11">
        <v>7.8000000000000007</v>
      </c>
    </row>
    <row r="16" spans="2:9" x14ac:dyDescent="0.2">
      <c r="B16" t="s">
        <v>29</v>
      </c>
      <c r="C16" s="2">
        <v>441</v>
      </c>
      <c r="D16" s="12">
        <v>0.49199999999999999</v>
      </c>
      <c r="E16" s="14" t="s">
        <v>71</v>
      </c>
      <c r="F16" s="2" t="s">
        <v>81</v>
      </c>
      <c r="G16" s="11">
        <v>0.41</v>
      </c>
      <c r="H16" s="11">
        <v>0.28299999999999997</v>
      </c>
      <c r="I16" s="11">
        <v>3.7199999999999998</v>
      </c>
    </row>
    <row r="17" spans="2:9" x14ac:dyDescent="0.2">
      <c r="B17" t="s">
        <v>30</v>
      </c>
      <c r="C17" s="2">
        <v>140</v>
      </c>
      <c r="D17" s="12">
        <v>0.48199999999999998</v>
      </c>
      <c r="E17" s="14" t="s">
        <v>72</v>
      </c>
      <c r="F17" s="2" t="s">
        <v>82</v>
      </c>
      <c r="G17" s="11">
        <v>0.4</v>
      </c>
      <c r="H17" s="11">
        <v>0.28599999999999998</v>
      </c>
      <c r="I17" s="11">
        <v>4.62</v>
      </c>
    </row>
    <row r="27" spans="2:9" x14ac:dyDescent="0.2">
      <c r="B27" t="s">
        <v>9</v>
      </c>
    </row>
  </sheetData>
  <mergeCells count="1">
    <mergeCell ref="G4:H4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8297B-C6AB-F04D-890E-FBA3B4A784B3}">
  <dimension ref="A1:J170"/>
  <sheetViews>
    <sheetView tabSelected="1" topLeftCell="A13" workbookViewId="0">
      <selection activeCell="V12" sqref="V12"/>
    </sheetView>
  </sheetViews>
  <sheetFormatPr baseColWidth="10" defaultRowHeight="16" x14ac:dyDescent="0.2"/>
  <cols>
    <col min="1" max="1" width="14" customWidth="1"/>
    <col min="2" max="9" width="13.83203125" customWidth="1"/>
    <col min="10" max="10" width="5.5" customWidth="1"/>
  </cols>
  <sheetData>
    <row r="1" spans="1:10" x14ac:dyDescent="0.2">
      <c r="A1" t="s">
        <v>0</v>
      </c>
    </row>
    <row r="2" spans="1:10" x14ac:dyDescent="0.2">
      <c r="A2" s="1">
        <v>46235</v>
      </c>
    </row>
    <row r="3" spans="1:10" x14ac:dyDescent="0.2">
      <c r="A3" t="s">
        <v>1</v>
      </c>
    </row>
    <row r="5" spans="1:10" x14ac:dyDescent="0.2">
      <c r="B5" s="17" t="s">
        <v>45</v>
      </c>
      <c r="C5" s="17"/>
      <c r="D5" s="17"/>
      <c r="E5" s="17"/>
      <c r="H5" s="17" t="s">
        <v>29</v>
      </c>
      <c r="I5" s="17"/>
      <c r="J5" s="2"/>
    </row>
    <row r="6" spans="1:10" x14ac:dyDescent="0.2">
      <c r="A6" t="s">
        <v>13</v>
      </c>
      <c r="B6">
        <v>0.49199999999999999</v>
      </c>
      <c r="D6" t="s">
        <v>13</v>
      </c>
      <c r="E6">
        <v>0.49199999999999999</v>
      </c>
    </row>
    <row r="7" spans="1:10" x14ac:dyDescent="0.2">
      <c r="A7" t="s">
        <v>44</v>
      </c>
      <c r="B7">
        <v>-49</v>
      </c>
      <c r="D7" t="s">
        <v>33</v>
      </c>
      <c r="E7" s="4">
        <v>1.03E-4</v>
      </c>
    </row>
    <row r="8" spans="1:10" x14ac:dyDescent="0.2">
      <c r="A8" t="s">
        <v>5</v>
      </c>
      <c r="B8">
        <v>10.4</v>
      </c>
      <c r="D8" t="s">
        <v>50</v>
      </c>
      <c r="E8" s="4">
        <v>3.72</v>
      </c>
    </row>
    <row r="9" spans="1:10" x14ac:dyDescent="0.2">
      <c r="A9" t="s">
        <v>7</v>
      </c>
      <c r="B9">
        <v>0.24099999999999999</v>
      </c>
      <c r="D9" t="s">
        <v>32</v>
      </c>
      <c r="E9">
        <f>2*B8+3</f>
        <v>23.8</v>
      </c>
      <c r="G9" t="s">
        <v>93</v>
      </c>
    </row>
    <row r="10" spans="1:10" x14ac:dyDescent="0.2">
      <c r="D10" t="s">
        <v>7</v>
      </c>
      <c r="E10">
        <v>0.24099999999999999</v>
      </c>
      <c r="G10" t="s">
        <v>95</v>
      </c>
    </row>
    <row r="11" spans="1:10" x14ac:dyDescent="0.2">
      <c r="A11" t="s">
        <v>41</v>
      </c>
      <c r="B11">
        <v>0.37</v>
      </c>
      <c r="G11">
        <v>30</v>
      </c>
    </row>
    <row r="12" spans="1:10" x14ac:dyDescent="0.2">
      <c r="A12" t="s">
        <v>42</v>
      </c>
      <c r="B12" s="9">
        <v>-70</v>
      </c>
      <c r="C12" t="s">
        <v>43</v>
      </c>
      <c r="D12" s="9"/>
      <c r="G12" t="s">
        <v>94</v>
      </c>
    </row>
    <row r="13" spans="1:10" x14ac:dyDescent="0.2">
      <c r="B13">
        <f>((2*B8+3)/(B8+3))*B7</f>
        <v>-87.029850746268664</v>
      </c>
      <c r="G13">
        <v>3</v>
      </c>
    </row>
    <row r="14" spans="1:10" x14ac:dyDescent="0.2">
      <c r="B14" s="9"/>
      <c r="D14" s="9"/>
    </row>
    <row r="15" spans="1:10" x14ac:dyDescent="0.2">
      <c r="G15" t="s">
        <v>92</v>
      </c>
      <c r="H15" s="17"/>
      <c r="I15" s="17"/>
      <c r="J15" s="2"/>
    </row>
    <row r="16" spans="1:10" x14ac:dyDescent="0.2">
      <c r="A16" s="2" t="s">
        <v>47</v>
      </c>
      <c r="B16" s="2" t="s">
        <v>39</v>
      </c>
      <c r="C16" s="2" t="s">
        <v>48</v>
      </c>
      <c r="D16" s="2" t="s">
        <v>49</v>
      </c>
      <c r="E16" s="2" t="s">
        <v>40</v>
      </c>
      <c r="F16" s="2" t="s">
        <v>46</v>
      </c>
      <c r="G16" s="2" t="s">
        <v>91</v>
      </c>
      <c r="H16" s="2"/>
      <c r="I16" s="2"/>
      <c r="J16" s="2"/>
    </row>
    <row r="17" spans="1:9" x14ac:dyDescent="0.2">
      <c r="A17">
        <v>0</v>
      </c>
      <c r="B17" s="4">
        <v>10</v>
      </c>
      <c r="C17" s="4">
        <v>0</v>
      </c>
      <c r="D17" s="4">
        <v>0</v>
      </c>
      <c r="E17" s="4">
        <v>1000</v>
      </c>
      <c r="F17" s="4">
        <f>MIN(B17,E17)</f>
        <v>10</v>
      </c>
      <c r="G17">
        <f>$G$11</f>
        <v>30</v>
      </c>
      <c r="H17" s="4"/>
      <c r="I17" s="4"/>
    </row>
    <row r="18" spans="1:9" x14ac:dyDescent="0.2">
      <c r="A18">
        <v>1E-3</v>
      </c>
      <c r="B18" s="4">
        <v>10</v>
      </c>
      <c r="C18" s="4">
        <f>C17+F17*(A18-A17)</f>
        <v>0.01</v>
      </c>
      <c r="D18" s="4">
        <f>C18/($E$6-$B$11)</f>
        <v>8.1967213114754106E-2</v>
      </c>
      <c r="E18" s="4">
        <f>$E$8*(-$B$12/D18+1)</f>
        <v>3180.6</v>
      </c>
      <c r="F18" s="4">
        <f>MIN(B18,E18)</f>
        <v>10</v>
      </c>
      <c r="G18" s="4">
        <f>$E$8+($G$11-$E$8)*EXP(-$G$13*A17)</f>
        <v>30</v>
      </c>
      <c r="H18" s="4"/>
      <c r="I18" s="4"/>
    </row>
    <row r="19" spans="1:9" x14ac:dyDescent="0.2">
      <c r="A19">
        <v>0.02</v>
      </c>
      <c r="B19" s="4">
        <v>10</v>
      </c>
      <c r="C19" s="4">
        <f t="shared" ref="C19:C31" si="0">C18+F18*(A19-A18)</f>
        <v>0.2</v>
      </c>
      <c r="D19" s="4">
        <f t="shared" ref="D19:D82" si="1">C19/($E$6-$B$11)</f>
        <v>1.639344262295082</v>
      </c>
      <c r="E19" s="4">
        <f t="shared" ref="E19:E82" si="2">$E$8*(-$B$12/D19+1)</f>
        <v>162.56399999999999</v>
      </c>
      <c r="F19" s="4">
        <f t="shared" ref="F19:F31" si="3">MIN(B19,E19)</f>
        <v>10</v>
      </c>
      <c r="G19" s="4">
        <f t="shared" ref="G19:G82" si="4">$E$8+($G$11-$E$8)*EXP(-$G$13*A18)</f>
        <v>29.921278141828644</v>
      </c>
      <c r="H19" s="4"/>
      <c r="I19" s="4"/>
    </row>
    <row r="20" spans="1:9" x14ac:dyDescent="0.2">
      <c r="A20">
        <f t="shared" ref="A19:A77" si="5">A19+0.02</f>
        <v>0.04</v>
      </c>
      <c r="B20" s="4">
        <v>10</v>
      </c>
      <c r="C20" s="4">
        <f t="shared" si="0"/>
        <v>0.4</v>
      </c>
      <c r="D20" s="4">
        <f t="shared" si="1"/>
        <v>3.278688524590164</v>
      </c>
      <c r="E20" s="4">
        <f t="shared" si="2"/>
        <v>83.141999999999996</v>
      </c>
      <c r="F20" s="4">
        <f t="shared" si="3"/>
        <v>10</v>
      </c>
      <c r="G20" s="4">
        <f t="shared" si="4"/>
        <v>28.469571942594055</v>
      </c>
      <c r="H20" s="4"/>
      <c r="I20" s="4"/>
    </row>
    <row r="21" spans="1:9" x14ac:dyDescent="0.2">
      <c r="A21">
        <f t="shared" si="5"/>
        <v>0.06</v>
      </c>
      <c r="B21" s="4">
        <v>10</v>
      </c>
      <c r="C21" s="4">
        <f t="shared" si="0"/>
        <v>0.6</v>
      </c>
      <c r="D21" s="4">
        <f t="shared" si="1"/>
        <v>4.918032786885246</v>
      </c>
      <c r="E21" s="4">
        <f t="shared" si="2"/>
        <v>56.667999999999999</v>
      </c>
      <c r="F21" s="4">
        <f t="shared" si="3"/>
        <v>10</v>
      </c>
      <c r="G21" s="4">
        <f t="shared" si="4"/>
        <v>27.028269076926897</v>
      </c>
      <c r="H21" s="4"/>
      <c r="I21" s="4"/>
    </row>
    <row r="22" spans="1:9" x14ac:dyDescent="0.2">
      <c r="A22">
        <f t="shared" si="5"/>
        <v>0.08</v>
      </c>
      <c r="B22" s="4">
        <v>10</v>
      </c>
      <c r="C22" s="4">
        <f t="shared" si="0"/>
        <v>0.8</v>
      </c>
      <c r="D22" s="4">
        <f t="shared" si="1"/>
        <v>6.557377049180328</v>
      </c>
      <c r="E22" s="4">
        <f t="shared" si="2"/>
        <v>43.430999999999997</v>
      </c>
      <c r="F22" s="4">
        <f t="shared" si="3"/>
        <v>10</v>
      </c>
      <c r="G22" s="4">
        <f t="shared" si="4"/>
        <v>25.670901155888227</v>
      </c>
      <c r="H22" s="4"/>
      <c r="I22" s="4"/>
    </row>
    <row r="23" spans="1:9" x14ac:dyDescent="0.2">
      <c r="A23">
        <f t="shared" si="5"/>
        <v>0.1</v>
      </c>
      <c r="B23" s="4">
        <v>10</v>
      </c>
      <c r="C23" s="4">
        <f t="shared" si="0"/>
        <v>1</v>
      </c>
      <c r="D23" s="4">
        <f t="shared" si="1"/>
        <v>8.1967213114754092</v>
      </c>
      <c r="E23" s="4">
        <f t="shared" si="2"/>
        <v>35.488800000000005</v>
      </c>
      <c r="F23" s="4">
        <f t="shared" si="3"/>
        <v>10</v>
      </c>
      <c r="G23" s="4">
        <f t="shared" si="4"/>
        <v>24.392580188829026</v>
      </c>
      <c r="H23" s="4"/>
      <c r="I23" s="4"/>
    </row>
    <row r="24" spans="1:9" x14ac:dyDescent="0.2">
      <c r="A24">
        <f t="shared" si="5"/>
        <v>0.12000000000000001</v>
      </c>
      <c r="B24" s="4">
        <v>10</v>
      </c>
      <c r="C24" s="4">
        <f t="shared" si="0"/>
        <v>1.2</v>
      </c>
      <c r="D24" s="4">
        <f t="shared" si="1"/>
        <v>9.8360655737704921</v>
      </c>
      <c r="E24" s="4">
        <f t="shared" si="2"/>
        <v>30.194000000000003</v>
      </c>
      <c r="F24" s="4">
        <f t="shared" si="3"/>
        <v>10</v>
      </c>
      <c r="G24" s="4">
        <f t="shared" si="4"/>
        <v>23.188702839515546</v>
      </c>
      <c r="H24" s="4"/>
      <c r="I24" s="4"/>
    </row>
    <row r="25" spans="1:9" x14ac:dyDescent="0.2">
      <c r="A25">
        <f t="shared" si="5"/>
        <v>0.14000000000000001</v>
      </c>
      <c r="B25" s="4">
        <v>10</v>
      </c>
      <c r="C25" s="4">
        <f t="shared" si="0"/>
        <v>1.4</v>
      </c>
      <c r="D25" s="4">
        <f t="shared" si="1"/>
        <v>11.475409836065573</v>
      </c>
      <c r="E25" s="4">
        <f t="shared" si="2"/>
        <v>26.412000000000003</v>
      </c>
      <c r="F25" s="4">
        <f t="shared" si="3"/>
        <v>10</v>
      </c>
      <c r="G25" s="4">
        <f t="shared" si="4"/>
        <v>22.054933849146696</v>
      </c>
      <c r="H25" s="4"/>
      <c r="I25" s="4"/>
    </row>
    <row r="26" spans="1:9" x14ac:dyDescent="0.2">
      <c r="A26">
        <f t="shared" si="5"/>
        <v>0.16</v>
      </c>
      <c r="B26" s="4">
        <v>10</v>
      </c>
      <c r="C26" s="4">
        <f t="shared" si="0"/>
        <v>1.5999999999999999</v>
      </c>
      <c r="D26" s="4">
        <f t="shared" si="1"/>
        <v>13.114754098360654</v>
      </c>
      <c r="E26" s="4">
        <f t="shared" si="2"/>
        <v>23.575500000000002</v>
      </c>
      <c r="F26" s="4">
        <f t="shared" si="3"/>
        <v>10</v>
      </c>
      <c r="G26" s="4">
        <f t="shared" si="4"/>
        <v>20.987190424739691</v>
      </c>
      <c r="H26" s="4"/>
      <c r="I26" s="4"/>
    </row>
    <row r="27" spans="1:9" x14ac:dyDescent="0.2">
      <c r="A27">
        <f t="shared" si="5"/>
        <v>0.18</v>
      </c>
      <c r="B27" s="4">
        <v>10</v>
      </c>
      <c r="C27" s="4">
        <f t="shared" si="0"/>
        <v>1.7999999999999998</v>
      </c>
      <c r="D27" s="4">
        <f t="shared" si="1"/>
        <v>14.754098360655737</v>
      </c>
      <c r="E27" s="4">
        <f t="shared" si="2"/>
        <v>21.369333333333334</v>
      </c>
      <c r="F27" s="4">
        <f t="shared" si="3"/>
        <v>10</v>
      </c>
      <c r="G27" s="4">
        <f t="shared" si="4"/>
        <v>19.981627536665382</v>
      </c>
      <c r="H27" s="4"/>
      <c r="I27" s="4"/>
    </row>
    <row r="28" spans="1:9" x14ac:dyDescent="0.2">
      <c r="A28">
        <f t="shared" si="5"/>
        <v>0.19999999999999998</v>
      </c>
      <c r="B28" s="4">
        <v>10</v>
      </c>
      <c r="C28" s="4">
        <f t="shared" si="0"/>
        <v>1.9999999999999998</v>
      </c>
      <c r="D28" s="4">
        <f t="shared" si="1"/>
        <v>16.393442622950818</v>
      </c>
      <c r="E28" s="4">
        <f t="shared" si="2"/>
        <v>19.604400000000002</v>
      </c>
      <c r="F28" s="4">
        <f t="shared" si="3"/>
        <v>10</v>
      </c>
      <c r="G28" s="4">
        <f t="shared" si="4"/>
        <v>19.03462407238845</v>
      </c>
      <c r="H28" s="4"/>
      <c r="I28" s="4"/>
    </row>
    <row r="29" spans="1:9" x14ac:dyDescent="0.2">
      <c r="A29">
        <f t="shared" si="5"/>
        <v>0.21999999999999997</v>
      </c>
      <c r="B29" s="4">
        <v>10</v>
      </c>
      <c r="C29" s="4">
        <f t="shared" si="0"/>
        <v>2.1999999999999997</v>
      </c>
      <c r="D29" s="4">
        <f t="shared" si="1"/>
        <v>18.032786885245901</v>
      </c>
      <c r="E29" s="4">
        <f t="shared" si="2"/>
        <v>18.160363636363638</v>
      </c>
      <c r="F29" s="4">
        <f t="shared" si="3"/>
        <v>10</v>
      </c>
      <c r="G29" s="4">
        <f t="shared" si="4"/>
        <v>18.142769796551015</v>
      </c>
      <c r="H29" s="4"/>
      <c r="I29" s="4"/>
    </row>
    <row r="30" spans="1:9" x14ac:dyDescent="0.2">
      <c r="A30">
        <f t="shared" si="5"/>
        <v>0.23999999999999996</v>
      </c>
      <c r="B30" s="4">
        <v>10</v>
      </c>
      <c r="C30" s="4">
        <f t="shared" si="0"/>
        <v>2.3999999999999995</v>
      </c>
      <c r="D30" s="4">
        <f t="shared" si="1"/>
        <v>19.672131147540981</v>
      </c>
      <c r="E30" s="4">
        <f t="shared" si="2"/>
        <v>16.957000000000001</v>
      </c>
      <c r="F30" s="4">
        <f t="shared" si="3"/>
        <v>10</v>
      </c>
      <c r="G30" s="4">
        <f t="shared" si="4"/>
        <v>17.302853070441859</v>
      </c>
      <c r="H30" s="4"/>
      <c r="I30" s="4"/>
    </row>
    <row r="31" spans="1:9" x14ac:dyDescent="0.2">
      <c r="A31">
        <f t="shared" si="5"/>
        <v>0.25999999999999995</v>
      </c>
      <c r="B31" s="4">
        <v>10</v>
      </c>
      <c r="C31" s="4">
        <f t="shared" si="0"/>
        <v>2.5999999999999992</v>
      </c>
      <c r="D31" s="4">
        <f t="shared" si="1"/>
        <v>21.31147540983606</v>
      </c>
      <c r="E31" s="4">
        <f t="shared" si="2"/>
        <v>15.938769230769234</v>
      </c>
      <c r="F31" s="4">
        <f t="shared" si="3"/>
        <v>10</v>
      </c>
      <c r="G31" s="4">
        <f t="shared" si="4"/>
        <v>16.511849286628056</v>
      </c>
      <c r="H31" s="4"/>
      <c r="I31" s="4"/>
    </row>
    <row r="32" spans="1:9" x14ac:dyDescent="0.2">
      <c r="A32">
        <f t="shared" si="5"/>
        <v>0.27999999999999997</v>
      </c>
      <c r="B32" s="4">
        <v>10</v>
      </c>
      <c r="C32" s="4">
        <f t="shared" ref="C32:C49" si="6">C31+F31*(A32-A31)</f>
        <v>2.7999999999999994</v>
      </c>
      <c r="D32" s="4">
        <f t="shared" si="1"/>
        <v>22.950819672131143</v>
      </c>
      <c r="E32" s="4">
        <f t="shared" si="2"/>
        <v>15.066000000000004</v>
      </c>
      <c r="F32" s="4">
        <f t="shared" ref="F32:F49" si="7">MIN(B32,E32)</f>
        <v>10</v>
      </c>
      <c r="G32" s="4">
        <f t="shared" si="4"/>
        <v>15.766909977101278</v>
      </c>
      <c r="H32" s="4"/>
      <c r="I32" s="4"/>
    </row>
    <row r="33" spans="1:9" x14ac:dyDescent="0.2">
      <c r="A33">
        <f t="shared" si="5"/>
        <v>0.3</v>
      </c>
      <c r="B33" s="4">
        <v>10</v>
      </c>
      <c r="C33" s="4">
        <f t="shared" si="6"/>
        <v>2.9999999999999996</v>
      </c>
      <c r="D33" s="4">
        <f t="shared" si="1"/>
        <v>24.590163934426226</v>
      </c>
      <c r="E33" s="4">
        <f t="shared" si="2"/>
        <v>14.309600000000003</v>
      </c>
      <c r="F33" s="4">
        <f t="shared" si="7"/>
        <v>10</v>
      </c>
      <c r="G33" s="4">
        <f t="shared" si="4"/>
        <v>15.065352555716217</v>
      </c>
      <c r="H33" s="4"/>
      <c r="I33" s="4"/>
    </row>
    <row r="34" spans="1:9" x14ac:dyDescent="0.2">
      <c r="A34">
        <f t="shared" si="5"/>
        <v>0.32</v>
      </c>
      <c r="B34" s="4">
        <v>10</v>
      </c>
      <c r="C34" s="4">
        <f t="shared" si="6"/>
        <v>3.1999999999999997</v>
      </c>
      <c r="D34" s="4">
        <f t="shared" si="1"/>
        <v>26.229508196721309</v>
      </c>
      <c r="E34" s="4">
        <f t="shared" si="2"/>
        <v>13.647750000000002</v>
      </c>
      <c r="F34" s="4">
        <f t="shared" si="7"/>
        <v>10</v>
      </c>
      <c r="G34" s="4">
        <f t="shared" si="4"/>
        <v>14.404650657982947</v>
      </c>
      <c r="H34" s="4"/>
      <c r="I34" s="4"/>
    </row>
    <row r="35" spans="1:9" x14ac:dyDescent="0.2">
      <c r="A35">
        <f t="shared" si="5"/>
        <v>0.34</v>
      </c>
      <c r="B35" s="4">
        <v>10</v>
      </c>
      <c r="C35" s="4">
        <f t="shared" si="6"/>
        <v>3.4</v>
      </c>
      <c r="D35" s="4">
        <f t="shared" si="1"/>
        <v>27.868852459016395</v>
      </c>
      <c r="E35" s="4">
        <f t="shared" si="2"/>
        <v>13.063764705882354</v>
      </c>
      <c r="F35" s="4">
        <f t="shared" si="7"/>
        <v>10</v>
      </c>
      <c r="G35" s="4">
        <f t="shared" si="4"/>
        <v>13.782425043425945</v>
      </c>
      <c r="H35" s="4"/>
      <c r="I35" s="4"/>
    </row>
    <row r="36" spans="1:9" x14ac:dyDescent="0.2">
      <c r="A36">
        <f t="shared" si="5"/>
        <v>0.36000000000000004</v>
      </c>
      <c r="B36" s="4">
        <v>10</v>
      </c>
      <c r="C36" s="4">
        <f t="shared" si="6"/>
        <v>3.6</v>
      </c>
      <c r="D36" s="4">
        <f t="shared" si="1"/>
        <v>29.508196721311478</v>
      </c>
      <c r="E36" s="4">
        <f t="shared" si="2"/>
        <v>12.544666666666668</v>
      </c>
      <c r="F36" s="4">
        <f t="shared" si="7"/>
        <v>10</v>
      </c>
      <c r="G36" s="4">
        <f t="shared" si="4"/>
        <v>13.1964350277485</v>
      </c>
      <c r="H36" s="4"/>
      <c r="I36" s="4"/>
    </row>
    <row r="37" spans="1:9" x14ac:dyDescent="0.2">
      <c r="A37">
        <f t="shared" si="5"/>
        <v>0.38000000000000006</v>
      </c>
      <c r="B37" s="4">
        <v>10</v>
      </c>
      <c r="C37" s="4">
        <f t="shared" si="6"/>
        <v>3.8000000000000003</v>
      </c>
      <c r="D37" s="4">
        <f t="shared" si="1"/>
        <v>31.147540983606561</v>
      </c>
      <c r="E37" s="4">
        <f t="shared" si="2"/>
        <v>12.080210526315788</v>
      </c>
      <c r="F37" s="4">
        <f t="shared" si="7"/>
        <v>10</v>
      </c>
      <c r="G37" s="4">
        <f t="shared" si="4"/>
        <v>12.644570413949001</v>
      </c>
      <c r="H37" s="4"/>
      <c r="I37" s="4"/>
    </row>
    <row r="38" spans="1:9" x14ac:dyDescent="0.2">
      <c r="A38">
        <f t="shared" si="5"/>
        <v>0.40000000000000008</v>
      </c>
      <c r="B38" s="4">
        <v>10</v>
      </c>
      <c r="C38" s="4">
        <f t="shared" si="6"/>
        <v>4</v>
      </c>
      <c r="D38" s="4">
        <f t="shared" si="1"/>
        <v>32.786885245901637</v>
      </c>
      <c r="E38" s="4">
        <f t="shared" si="2"/>
        <v>11.662200000000002</v>
      </c>
      <c r="F38" s="4">
        <f t="shared" si="7"/>
        <v>10</v>
      </c>
      <c r="G38" s="4">
        <f t="shared" si="4"/>
        <v>12.124843893332466</v>
      </c>
      <c r="H38" s="4"/>
      <c r="I38" s="4"/>
    </row>
    <row r="39" spans="1:9" x14ac:dyDescent="0.2">
      <c r="A39">
        <f t="shared" si="5"/>
        <v>0.4200000000000001</v>
      </c>
      <c r="B39" s="4">
        <v>10</v>
      </c>
      <c r="C39" s="4">
        <f t="shared" si="6"/>
        <v>4.2</v>
      </c>
      <c r="D39" s="4">
        <f t="shared" si="1"/>
        <v>34.426229508196727</v>
      </c>
      <c r="E39" s="4">
        <f t="shared" si="2"/>
        <v>11.284000000000001</v>
      </c>
      <c r="F39" s="4">
        <f t="shared" si="7"/>
        <v>10</v>
      </c>
      <c r="G39" s="4">
        <f t="shared" si="4"/>
        <v>11.635383889052671</v>
      </c>
      <c r="H39" s="4"/>
      <c r="I39" s="4"/>
    </row>
    <row r="40" spans="1:9" x14ac:dyDescent="0.2">
      <c r="A40">
        <f t="shared" si="5"/>
        <v>0.44000000000000011</v>
      </c>
      <c r="B40" s="4">
        <v>10</v>
      </c>
      <c r="C40" s="4">
        <f t="shared" si="6"/>
        <v>4.4000000000000004</v>
      </c>
      <c r="D40" s="4">
        <f t="shared" si="1"/>
        <v>36.06557377049181</v>
      </c>
      <c r="E40" s="4">
        <f t="shared" si="2"/>
        <v>10.940181818181816</v>
      </c>
      <c r="F40" s="4">
        <f t="shared" si="7"/>
        <v>10</v>
      </c>
      <c r="G40" s="4">
        <f t="shared" si="4"/>
        <v>11.174427816413964</v>
      </c>
      <c r="H40" s="4"/>
      <c r="I40" s="4"/>
    </row>
    <row r="41" spans="1:9" x14ac:dyDescent="0.2">
      <c r="A41">
        <f t="shared" si="5"/>
        <v>0.46000000000000013</v>
      </c>
      <c r="B41" s="4">
        <v>10</v>
      </c>
      <c r="C41" s="4">
        <f t="shared" si="6"/>
        <v>4.6000000000000005</v>
      </c>
      <c r="D41" s="4">
        <f t="shared" si="1"/>
        <v>37.704918032786892</v>
      </c>
      <c r="E41" s="4">
        <f t="shared" si="2"/>
        <v>10.626260869565217</v>
      </c>
      <c r="F41" s="4">
        <f t="shared" si="7"/>
        <v>10</v>
      </c>
      <c r="G41" s="4">
        <f t="shared" si="4"/>
        <v>10.740315735662547</v>
      </c>
      <c r="H41" s="4"/>
      <c r="I41" s="4"/>
    </row>
    <row r="42" spans="1:9" x14ac:dyDescent="0.2">
      <c r="A42">
        <f t="shared" si="5"/>
        <v>0.48000000000000015</v>
      </c>
      <c r="B42" s="4">
        <v>10</v>
      </c>
      <c r="C42" s="4">
        <f t="shared" si="6"/>
        <v>4.8000000000000007</v>
      </c>
      <c r="D42" s="4">
        <f t="shared" si="1"/>
        <v>39.344262295081975</v>
      </c>
      <c r="E42" s="4">
        <f t="shared" si="2"/>
        <v>10.3385</v>
      </c>
      <c r="F42" s="4">
        <f t="shared" si="7"/>
        <v>10</v>
      </c>
      <c r="G42" s="4">
        <f t="shared" si="4"/>
        <v>10.331484374410399</v>
      </c>
      <c r="H42" s="4"/>
      <c r="I42" s="4"/>
    </row>
    <row r="43" spans="1:9" x14ac:dyDescent="0.2">
      <c r="A43">
        <f t="shared" si="5"/>
        <v>0.50000000000000011</v>
      </c>
      <c r="B43" s="4">
        <v>10</v>
      </c>
      <c r="C43" s="4">
        <f t="shared" si="6"/>
        <v>5</v>
      </c>
      <c r="D43" s="4">
        <f t="shared" si="1"/>
        <v>40.983606557377051</v>
      </c>
      <c r="E43" s="4">
        <f t="shared" si="2"/>
        <v>10.073760000000002</v>
      </c>
      <c r="F43" s="4">
        <f t="shared" si="7"/>
        <v>10</v>
      </c>
      <c r="G43" s="4">
        <f t="shared" si="4"/>
        <v>9.9464614981661583</v>
      </c>
      <c r="H43" s="4"/>
      <c r="I43" s="4"/>
    </row>
    <row r="44" spans="1:9" x14ac:dyDescent="0.2">
      <c r="A44">
        <f t="shared" si="5"/>
        <v>0.52000000000000013</v>
      </c>
      <c r="B44" s="4">
        <v>10</v>
      </c>
      <c r="C44" s="4">
        <f t="shared" si="6"/>
        <v>5.2</v>
      </c>
      <c r="D44" s="4">
        <f t="shared" si="1"/>
        <v>42.622950819672134</v>
      </c>
      <c r="E44" s="4">
        <f t="shared" si="2"/>
        <v>9.8293846153846154</v>
      </c>
      <c r="F44" s="4">
        <f t="shared" si="7"/>
        <v>9.8293846153846154</v>
      </c>
      <c r="G44" s="4">
        <f t="shared" si="4"/>
        <v>9.5838606087007339</v>
      </c>
      <c r="H44" s="4"/>
      <c r="I44" s="4"/>
    </row>
    <row r="45" spans="1:9" x14ac:dyDescent="0.2">
      <c r="A45">
        <f t="shared" si="5"/>
        <v>0.54000000000000015</v>
      </c>
      <c r="B45" s="4">
        <v>10</v>
      </c>
      <c r="C45" s="4">
        <f t="shared" si="6"/>
        <v>5.3965876923076923</v>
      </c>
      <c r="D45" s="4">
        <f t="shared" si="1"/>
        <v>44.234325346784367</v>
      </c>
      <c r="E45" s="4">
        <f t="shared" si="2"/>
        <v>9.6068310516445994</v>
      </c>
      <c r="F45" s="4">
        <f t="shared" si="7"/>
        <v>9.6068310516445994</v>
      </c>
      <c r="G45" s="4">
        <f t="shared" si="4"/>
        <v>9.2423759511560952</v>
      </c>
      <c r="H45" s="4"/>
      <c r="I45" s="4"/>
    </row>
    <row r="46" spans="1:9" x14ac:dyDescent="0.2">
      <c r="A46">
        <f t="shared" si="5"/>
        <v>0.56000000000000016</v>
      </c>
      <c r="B46" s="4">
        <v>10</v>
      </c>
      <c r="C46" s="4">
        <f t="shared" si="6"/>
        <v>5.5887243133405846</v>
      </c>
      <c r="D46" s="4">
        <f t="shared" si="1"/>
        <v>45.809215683119547</v>
      </c>
      <c r="E46" s="4">
        <f t="shared" si="2"/>
        <v>9.4044457194222613</v>
      </c>
      <c r="F46" s="4">
        <f t="shared" si="7"/>
        <v>9.4044457194222613</v>
      </c>
      <c r="G46" s="4">
        <f t="shared" si="4"/>
        <v>8.9207778119173913</v>
      </c>
    </row>
    <row r="47" spans="1:9" x14ac:dyDescent="0.2">
      <c r="A47">
        <f t="shared" si="5"/>
        <v>0.58000000000000018</v>
      </c>
      <c r="B47" s="4">
        <v>10</v>
      </c>
      <c r="C47" s="4">
        <f t="shared" si="6"/>
        <v>5.7768132277290301</v>
      </c>
      <c r="D47" s="4">
        <f t="shared" si="1"/>
        <v>47.35092809613959</v>
      </c>
      <c r="E47" s="4">
        <f t="shared" si="2"/>
        <v>9.2193642251592927</v>
      </c>
      <c r="F47" s="4">
        <f t="shared" si="7"/>
        <v>9.2193642251592927</v>
      </c>
      <c r="G47" s="4">
        <f t="shared" si="4"/>
        <v>8.6179080903156908</v>
      </c>
    </row>
    <row r="48" spans="1:9" x14ac:dyDescent="0.2">
      <c r="A48">
        <f t="shared" si="5"/>
        <v>0.6000000000000002</v>
      </c>
      <c r="B48" s="4">
        <v>10</v>
      </c>
      <c r="C48" s="4">
        <f t="shared" si="6"/>
        <v>5.9612005122322165</v>
      </c>
      <c r="D48" s="4">
        <f t="shared" si="1"/>
        <v>48.862299280591941</v>
      </c>
      <c r="E48" s="4">
        <f t="shared" si="2"/>
        <v>9.0492621066530656</v>
      </c>
      <c r="F48" s="4">
        <f t="shared" si="7"/>
        <v>9.0492621066530656</v>
      </c>
      <c r="G48" s="4">
        <f t="shared" si="4"/>
        <v>8.3326761282146755</v>
      </c>
    </row>
    <row r="49" spans="1:7" x14ac:dyDescent="0.2">
      <c r="A49">
        <f t="shared" si="5"/>
        <v>0.62000000000000022</v>
      </c>
      <c r="B49" s="4">
        <v>10</v>
      </c>
      <c r="C49" s="4">
        <f t="shared" si="6"/>
        <v>6.1421857543652782</v>
      </c>
      <c r="D49" s="4">
        <f t="shared" si="1"/>
        <v>50.345784871846547</v>
      </c>
      <c r="E49" s="4">
        <f t="shared" si="2"/>
        <v>8.8922304193457151</v>
      </c>
      <c r="F49" s="4">
        <f t="shared" si="7"/>
        <v>8.8922304193457151</v>
      </c>
      <c r="G49" s="4">
        <f t="shared" si="4"/>
        <v>8.0640547824632911</v>
      </c>
    </row>
    <row r="50" spans="1:7" x14ac:dyDescent="0.2">
      <c r="A50">
        <f t="shared" si="5"/>
        <v>0.64000000000000024</v>
      </c>
      <c r="B50" s="4">
        <v>10</v>
      </c>
      <c r="C50" s="4">
        <f t="shared" ref="C50:C66" si="8">C49+F49*(A50-A49)</f>
        <v>6.3200303627521928</v>
      </c>
      <c r="D50" s="4">
        <f t="shared" si="1"/>
        <v>51.803527563542566</v>
      </c>
      <c r="E50" s="4">
        <f t="shared" si="2"/>
        <v>8.7466847113952149</v>
      </c>
      <c r="F50" s="4">
        <f t="shared" ref="F50:F66" si="9">MIN(B50,E50)</f>
        <v>8.7466847113952149</v>
      </c>
      <c r="G50" s="4">
        <f t="shared" si="4"/>
        <v>7.8110767260709668</v>
      </c>
    </row>
    <row r="51" spans="1:7" x14ac:dyDescent="0.2">
      <c r="A51">
        <f t="shared" si="5"/>
        <v>0.66000000000000025</v>
      </c>
      <c r="B51" s="4">
        <v>10</v>
      </c>
      <c r="C51" s="4">
        <f t="shared" si="8"/>
        <v>6.4949640569800975</v>
      </c>
      <c r="D51" s="4">
        <f t="shared" si="1"/>
        <v>53.237410303115553</v>
      </c>
      <c r="E51" s="4">
        <f t="shared" si="2"/>
        <v>8.6112972760577904</v>
      </c>
      <c r="F51" s="4">
        <f t="shared" si="9"/>
        <v>8.6112972760577904</v>
      </c>
      <c r="G51" s="4">
        <f t="shared" si="4"/>
        <v>7.5728309647855987</v>
      </c>
    </row>
    <row r="52" spans="1:7" x14ac:dyDescent="0.2">
      <c r="A52">
        <f t="shared" si="5"/>
        <v>0.68000000000000027</v>
      </c>
      <c r="B52" s="4">
        <v>10</v>
      </c>
      <c r="C52" s="4">
        <f t="shared" si="8"/>
        <v>6.6671900025012532</v>
      </c>
      <c r="D52" s="4">
        <f t="shared" si="1"/>
        <v>54.649098381157813</v>
      </c>
      <c r="E52" s="4">
        <f t="shared" si="2"/>
        <v>8.4849459499551791</v>
      </c>
      <c r="F52" s="4">
        <f t="shared" si="9"/>
        <v>8.4849459499551791</v>
      </c>
      <c r="G52" s="4">
        <f t="shared" si="4"/>
        <v>7.3484595565302602</v>
      </c>
    </row>
    <row r="53" spans="1:7" x14ac:dyDescent="0.2">
      <c r="A53">
        <f t="shared" si="5"/>
        <v>0.70000000000000029</v>
      </c>
      <c r="B53" s="4">
        <v>10</v>
      </c>
      <c r="C53" s="4">
        <f t="shared" si="8"/>
        <v>6.836888921500357</v>
      </c>
      <c r="D53" s="4">
        <f t="shared" si="1"/>
        <v>56.040073127052111</v>
      </c>
      <c r="E53" s="4">
        <f t="shared" si="2"/>
        <v>8.3666748787002856</v>
      </c>
      <c r="F53" s="4">
        <f t="shared" si="9"/>
        <v>8.3666748787002856</v>
      </c>
      <c r="G53" s="4">
        <f t="shared" si="4"/>
        <v>7.1371545218850301</v>
      </c>
    </row>
    <row r="54" spans="1:7" x14ac:dyDescent="0.2">
      <c r="A54">
        <f t="shared" si="5"/>
        <v>0.72000000000000031</v>
      </c>
      <c r="B54" s="4">
        <v>10</v>
      </c>
      <c r="C54" s="4">
        <f t="shared" si="8"/>
        <v>7.0042224190743632</v>
      </c>
      <c r="D54" s="4">
        <f t="shared" si="1"/>
        <v>57.411659172740684</v>
      </c>
      <c r="E54" s="4">
        <f t="shared" si="2"/>
        <v>8.255664075070646</v>
      </c>
      <c r="F54" s="4">
        <f t="shared" si="9"/>
        <v>8.255664075070646</v>
      </c>
      <c r="G54" s="4">
        <f t="shared" si="4"/>
        <v>6.9381549344883613</v>
      </c>
    </row>
    <row r="55" spans="1:7" x14ac:dyDescent="0.2">
      <c r="A55">
        <f t="shared" si="5"/>
        <v>0.74000000000000032</v>
      </c>
      <c r="B55" s="4">
        <v>10</v>
      </c>
      <c r="C55" s="4">
        <f t="shared" si="8"/>
        <v>7.1693357005757763</v>
      </c>
      <c r="D55" s="4">
        <f t="shared" si="1"/>
        <v>58.765046726030953</v>
      </c>
      <c r="E55" s="4">
        <f t="shared" si="2"/>
        <v>8.1512055296069637</v>
      </c>
      <c r="F55" s="4">
        <f t="shared" si="9"/>
        <v>8.1512055296069637</v>
      </c>
      <c r="G55" s="4">
        <f t="shared" si="4"/>
        <v>6.7507441808802806</v>
      </c>
    </row>
    <row r="56" spans="1:7" x14ac:dyDescent="0.2">
      <c r="A56">
        <f t="shared" si="5"/>
        <v>0.76000000000000034</v>
      </c>
      <c r="B56" s="4">
        <v>10</v>
      </c>
      <c r="C56" s="4">
        <f t="shared" si="8"/>
        <v>7.3323598111679154</v>
      </c>
      <c r="D56" s="4">
        <f t="shared" si="1"/>
        <v>60.101309927605868</v>
      </c>
      <c r="E56" s="4">
        <f t="shared" si="2"/>
        <v>8.0526842678414337</v>
      </c>
      <c r="F56" s="4">
        <f t="shared" si="9"/>
        <v>8.0526842678414337</v>
      </c>
      <c r="G56" s="4">
        <f t="shared" si="4"/>
        <v>6.5742473799198926</v>
      </c>
    </row>
    <row r="57" spans="1:7" x14ac:dyDescent="0.2">
      <c r="A57">
        <f t="shared" si="5"/>
        <v>0.78000000000000036</v>
      </c>
      <c r="B57" s="4">
        <v>10</v>
      </c>
      <c r="C57" s="4">
        <f t="shared" si="8"/>
        <v>7.4934134965247443</v>
      </c>
      <c r="D57" s="4">
        <f t="shared" si="1"/>
        <v>61.421422102661843</v>
      </c>
      <c r="E57" s="4">
        <f t="shared" si="2"/>
        <v>7.9595631863547318</v>
      </c>
      <c r="F57" s="4">
        <f t="shared" si="9"/>
        <v>7.9595631863547318</v>
      </c>
      <c r="G57" s="4">
        <f t="shared" si="4"/>
        <v>6.4080289524843224</v>
      </c>
    </row>
    <row r="58" spans="1:7" x14ac:dyDescent="0.2">
      <c r="A58">
        <f t="shared" si="5"/>
        <v>0.80000000000000038</v>
      </c>
      <c r="B58" s="4">
        <v>10</v>
      </c>
      <c r="C58" s="4">
        <f t="shared" si="8"/>
        <v>7.6526047602518394</v>
      </c>
      <c r="D58" s="4">
        <f t="shared" si="1"/>
        <v>62.726268526654422</v>
      </c>
      <c r="E58" s="4">
        <f t="shared" si="2"/>
        <v>7.8713708071020934</v>
      </c>
      <c r="F58" s="4">
        <f t="shared" si="9"/>
        <v>7.8713708071020934</v>
      </c>
      <c r="G58" s="4">
        <f t="shared" si="4"/>
        <v>6.2514903326973545</v>
      </c>
    </row>
    <row r="59" spans="1:7" x14ac:dyDescent="0.2">
      <c r="A59">
        <f t="shared" si="5"/>
        <v>0.8200000000000004</v>
      </c>
      <c r="B59" s="4">
        <v>10</v>
      </c>
      <c r="C59" s="4">
        <f t="shared" si="8"/>
        <v>7.8100321763938814</v>
      </c>
      <c r="D59" s="4">
        <f t="shared" si="1"/>
        <v>64.016657183556404</v>
      </c>
      <c r="E59" s="4">
        <f t="shared" si="2"/>
        <v>7.7876913081129686</v>
      </c>
      <c r="F59" s="4">
        <f t="shared" si="9"/>
        <v>7.7876913081129686</v>
      </c>
      <c r="G59" s="4">
        <f t="shared" si="4"/>
        <v>6.1040678124457575</v>
      </c>
    </row>
    <row r="60" spans="1:7" x14ac:dyDescent="0.2">
      <c r="A60">
        <f t="shared" si="5"/>
        <v>0.84000000000000041</v>
      </c>
      <c r="B60" s="4">
        <v>10</v>
      </c>
      <c r="C60" s="4">
        <f t="shared" si="8"/>
        <v>7.9657860025561407</v>
      </c>
      <c r="D60" s="4">
        <f t="shared" si="1"/>
        <v>65.293327889804431</v>
      </c>
      <c r="E60" s="4">
        <f t="shared" si="2"/>
        <v>7.7081563463800942</v>
      </c>
      <c r="F60" s="4">
        <f t="shared" si="9"/>
        <v>7.7081563463800942</v>
      </c>
      <c r="G60" s="4">
        <f t="shared" si="4"/>
        <v>5.9652305114211988</v>
      </c>
    </row>
    <row r="61" spans="1:7" x14ac:dyDescent="0.2">
      <c r="A61">
        <f t="shared" si="5"/>
        <v>0.86000000000000043</v>
      </c>
      <c r="B61" s="4">
        <v>10</v>
      </c>
      <c r="C61" s="4">
        <f t="shared" si="8"/>
        <v>8.1199491294837429</v>
      </c>
      <c r="D61" s="4">
        <f t="shared" si="1"/>
        <v>66.556960077735596</v>
      </c>
      <c r="E61" s="4">
        <f t="shared" si="2"/>
        <v>7.6324383039108801</v>
      </c>
      <c r="F61" s="4">
        <f t="shared" si="9"/>
        <v>7.6324383039108801</v>
      </c>
      <c r="G61" s="4">
        <f t="shared" si="4"/>
        <v>5.8344784653777104</v>
      </c>
    </row>
    <row r="62" spans="1:7" x14ac:dyDescent="0.2">
      <c r="A62">
        <f t="shared" si="5"/>
        <v>0.88000000000000045</v>
      </c>
      <c r="B62" s="4">
        <v>10</v>
      </c>
      <c r="C62" s="4">
        <f t="shared" si="8"/>
        <v>8.2725978955619599</v>
      </c>
      <c r="D62" s="4">
        <f t="shared" si="1"/>
        <v>67.808179471819344</v>
      </c>
      <c r="E62" s="4">
        <f t="shared" si="2"/>
        <v>7.5602446729633952</v>
      </c>
      <c r="F62" s="4">
        <f t="shared" si="9"/>
        <v>7.5602446729633952</v>
      </c>
      <c r="G62" s="4">
        <f t="shared" si="4"/>
        <v>5.7113408257203764</v>
      </c>
    </row>
    <row r="63" spans="1:7" x14ac:dyDescent="0.2">
      <c r="A63">
        <f t="shared" si="5"/>
        <v>0.90000000000000047</v>
      </c>
      <c r="B63" s="4">
        <v>10</v>
      </c>
      <c r="C63" s="4">
        <f t="shared" si="8"/>
        <v>8.4238027890212273</v>
      </c>
      <c r="D63" s="4">
        <f t="shared" si="1"/>
        <v>69.047563844436297</v>
      </c>
      <c r="E63" s="4">
        <f t="shared" si="2"/>
        <v>7.4913133599713886</v>
      </c>
      <c r="F63" s="4">
        <f t="shared" si="9"/>
        <v>7.4913133599713886</v>
      </c>
      <c r="G63" s="4">
        <f t="shared" si="4"/>
        <v>5.5953741639418233</v>
      </c>
    </row>
    <row r="64" spans="1:7" x14ac:dyDescent="0.2">
      <c r="A64">
        <f t="shared" si="5"/>
        <v>0.92000000000000048</v>
      </c>
      <c r="B64" s="4">
        <v>10</v>
      </c>
      <c r="C64" s="4">
        <f t="shared" si="8"/>
        <v>8.5736290562206552</v>
      </c>
      <c r="D64" s="4">
        <f t="shared" si="1"/>
        <v>70.275648001808648</v>
      </c>
      <c r="E64" s="4">
        <f t="shared" si="2"/>
        <v>7.4254087355167222</v>
      </c>
      <c r="F64" s="4">
        <f t="shared" si="9"/>
        <v>7.4254087355167222</v>
      </c>
      <c r="G64" s="4">
        <f t="shared" si="4"/>
        <v>5.4861608748006212</v>
      </c>
    </row>
    <row r="65" spans="1:7" x14ac:dyDescent="0.2">
      <c r="A65">
        <f t="shared" si="5"/>
        <v>0.9400000000000005</v>
      </c>
      <c r="B65" s="4">
        <v>10</v>
      </c>
      <c r="C65" s="4">
        <f t="shared" si="8"/>
        <v>8.7221372309309899</v>
      </c>
      <c r="D65" s="4">
        <f t="shared" si="1"/>
        <v>71.492928122385166</v>
      </c>
      <c r="E65" s="4">
        <f t="shared" si="2"/>
        <v>7.3623182941148295</v>
      </c>
      <c r="F65" s="4">
        <f t="shared" si="9"/>
        <v>7.3623182941148295</v>
      </c>
      <c r="G65" s="4">
        <f t="shared" si="4"/>
        <v>5.3833076724913553</v>
      </c>
    </row>
    <row r="66" spans="1:7" x14ac:dyDescent="0.2">
      <c r="A66">
        <f t="shared" si="5"/>
        <v>0.96000000000000052</v>
      </c>
      <c r="B66" s="4">
        <v>10</v>
      </c>
      <c r="C66" s="4">
        <f t="shared" si="8"/>
        <v>8.8693835968132859</v>
      </c>
      <c r="D66" s="4">
        <f t="shared" si="1"/>
        <v>72.699865547649893</v>
      </c>
      <c r="E66" s="4">
        <f t="shared" si="2"/>
        <v>7.3018498155175449</v>
      </c>
      <c r="F66" s="4">
        <f t="shared" si="9"/>
        <v>7.3018498155175449</v>
      </c>
      <c r="G66" s="4">
        <f t="shared" si="4"/>
        <v>5.2864441743909243</v>
      </c>
    </row>
    <row r="67" spans="1:7" x14ac:dyDescent="0.2">
      <c r="A67">
        <f t="shared" si="5"/>
        <v>0.98000000000000054</v>
      </c>
      <c r="B67" s="4">
        <v>10</v>
      </c>
      <c r="C67" s="4">
        <f t="shared" ref="C67:C77" si="10">C66+F66*(A67-A66)</f>
        <v>9.0154205931236362</v>
      </c>
      <c r="D67" s="4">
        <f t="shared" si="1"/>
        <v>73.896890107570783</v>
      </c>
      <c r="E67" s="4">
        <f t="shared" si="2"/>
        <v>7.2438289408517598</v>
      </c>
      <c r="F67" s="4">
        <f t="shared" ref="F67:F77" si="11">MIN(B67,E67)</f>
        <v>7.2438289408517598</v>
      </c>
      <c r="G67" s="4">
        <f t="shared" si="4"/>
        <v>5.195221567281032</v>
      </c>
    </row>
    <row r="68" spans="1:7" x14ac:dyDescent="0.2">
      <c r="A68">
        <f t="shared" si="5"/>
        <v>1.0000000000000004</v>
      </c>
      <c r="B68" s="4">
        <v>10</v>
      </c>
      <c r="C68" s="4">
        <f t="shared" si="10"/>
        <v>9.1602971719406714</v>
      </c>
      <c r="D68" s="4">
        <f t="shared" si="1"/>
        <v>75.084403048694028</v>
      </c>
      <c r="E68" s="4">
        <f t="shared" si="2"/>
        <v>7.1880970937615949</v>
      </c>
      <c r="F68" s="4">
        <f t="shared" si="11"/>
        <v>7.1880970937615949</v>
      </c>
      <c r="G68" s="4">
        <f t="shared" si="4"/>
        <v>5.1093113512438455</v>
      </c>
    </row>
    <row r="69" spans="1:7" x14ac:dyDescent="0.2">
      <c r="A69">
        <f t="shared" si="5"/>
        <v>1.0200000000000005</v>
      </c>
      <c r="B69" s="4">
        <v>10</v>
      </c>
      <c r="C69" s="4">
        <f t="shared" si="10"/>
        <v>9.304059113815903</v>
      </c>
      <c r="D69" s="4">
        <f t="shared" si="1"/>
        <v>76.262779621441823</v>
      </c>
      <c r="E69" s="4">
        <f t="shared" si="2"/>
        <v>7.1345096899508595</v>
      </c>
      <c r="F69" s="4">
        <f t="shared" si="11"/>
        <v>7.1345096899508595</v>
      </c>
      <c r="G69" s="4">
        <f t="shared" si="4"/>
        <v>5.0284041567074631</v>
      </c>
    </row>
    <row r="70" spans="1:7" x14ac:dyDescent="0.2">
      <c r="A70">
        <f t="shared" si="5"/>
        <v>1.0400000000000005</v>
      </c>
      <c r="B70" s="4">
        <v>10</v>
      </c>
      <c r="C70" s="4">
        <f t="shared" si="10"/>
        <v>9.4467493076149207</v>
      </c>
      <c r="D70" s="4">
        <f t="shared" si="1"/>
        <v>77.432371373892792</v>
      </c>
      <c r="E70" s="4">
        <f t="shared" si="2"/>
        <v>7.0829345889798851</v>
      </c>
      <c r="F70" s="4">
        <f t="shared" si="11"/>
        <v>7.0829345889798851</v>
      </c>
      <c r="G70" s="4">
        <f t="shared" si="4"/>
        <v>4.9522086303812962</v>
      </c>
    </row>
    <row r="71" spans="1:7" x14ac:dyDescent="0.2">
      <c r="A71">
        <f t="shared" si="5"/>
        <v>1.0600000000000005</v>
      </c>
      <c r="B71" s="4">
        <v>10</v>
      </c>
      <c r="C71" s="4">
        <f t="shared" si="10"/>
        <v>9.5884079993945193</v>
      </c>
      <c r="D71" s="4">
        <f t="shared" si="1"/>
        <v>78.59350819175836</v>
      </c>
      <c r="E71" s="4">
        <f t="shared" si="2"/>
        <v>7.0332507504901871</v>
      </c>
      <c r="F71" s="4">
        <f t="shared" si="11"/>
        <v>7.0332507504901871</v>
      </c>
      <c r="G71" s="4">
        <f t="shared" si="4"/>
        <v>4.8804503860695272</v>
      </c>
    </row>
    <row r="72" spans="1:7" x14ac:dyDescent="0.2">
      <c r="A72">
        <f t="shared" si="5"/>
        <v>1.0800000000000005</v>
      </c>
      <c r="B72" s="4">
        <v>10</v>
      </c>
      <c r="C72" s="4">
        <f t="shared" si="10"/>
        <v>9.7290730144043227</v>
      </c>
      <c r="D72" s="4">
        <f t="shared" si="1"/>
        <v>79.746500118068226</v>
      </c>
      <c r="E72" s="4">
        <f t="shared" si="2"/>
        <v>6.9853470636888924</v>
      </c>
      <c r="F72" s="4">
        <f t="shared" si="11"/>
        <v>6.9853470636888924</v>
      </c>
      <c r="G72" s="4">
        <f t="shared" si="4"/>
        <v>4.8128710165844293</v>
      </c>
    </row>
    <row r="73" spans="1:7" x14ac:dyDescent="0.2">
      <c r="A73">
        <f t="shared" si="5"/>
        <v>1.1000000000000005</v>
      </c>
      <c r="B73" s="4">
        <v>10</v>
      </c>
      <c r="C73" s="4">
        <f t="shared" si="10"/>
        <v>9.8687799556781002</v>
      </c>
      <c r="D73" s="4">
        <f t="shared" si="1"/>
        <v>80.89163898096804</v>
      </c>
      <c r="E73" s="4">
        <f t="shared" si="2"/>
        <v>6.9391213242850256</v>
      </c>
      <c r="F73" s="4">
        <f t="shared" si="11"/>
        <v>6.9391213242850256</v>
      </c>
      <c r="G73" s="4">
        <f t="shared" si="4"/>
        <v>4.7492271632013789</v>
      </c>
    </row>
    <row r="74" spans="1:7" x14ac:dyDescent="0.2">
      <c r="A74">
        <f t="shared" si="5"/>
        <v>1.1200000000000006</v>
      </c>
      <c r="B74" s="4">
        <v>10</v>
      </c>
      <c r="C74" s="4">
        <f t="shared" si="10"/>
        <v>10.007562382163801</v>
      </c>
      <c r="D74" s="4">
        <f t="shared" si="1"/>
        <v>82.029199853801657</v>
      </c>
      <c r="E74" s="4">
        <f t="shared" si="2"/>
        <v>6.8944793374079438</v>
      </c>
      <c r="F74" s="4">
        <f t="shared" si="11"/>
        <v>6.8944793374079438</v>
      </c>
      <c r="G74" s="4">
        <f t="shared" si="4"/>
        <v>4.6892896393045858</v>
      </c>
    </row>
    <row r="75" spans="1:7" x14ac:dyDescent="0.2">
      <c r="A75">
        <f t="shared" si="5"/>
        <v>1.1400000000000006</v>
      </c>
      <c r="B75" s="4">
        <v>10</v>
      </c>
      <c r="C75" s="4">
        <f t="shared" si="10"/>
        <v>10.14545196891196</v>
      </c>
      <c r="D75" s="4">
        <f t="shared" si="1"/>
        <v>83.159442368130826</v>
      </c>
      <c r="E75" s="4">
        <f t="shared" si="2"/>
        <v>6.8513341285678591</v>
      </c>
      <c r="F75" s="4">
        <f t="shared" si="11"/>
        <v>6.8513341285678591</v>
      </c>
      <c r="G75" s="4">
        <f t="shared" si="4"/>
        <v>4.6328426050677276</v>
      </c>
    </row>
    <row r="76" spans="1:7" x14ac:dyDescent="0.2">
      <c r="A76">
        <f t="shared" si="5"/>
        <v>1.1600000000000006</v>
      </c>
      <c r="B76" s="4">
        <v>10</v>
      </c>
      <c r="C76" s="4">
        <f t="shared" si="10"/>
        <v>10.282478651483316</v>
      </c>
      <c r="D76" s="4">
        <f t="shared" si="1"/>
        <v>84.282611897404237</v>
      </c>
      <c r="E76" s="4">
        <f t="shared" si="2"/>
        <v>6.809605247604102</v>
      </c>
      <c r="F76" s="4">
        <f t="shared" si="11"/>
        <v>6.809605247604102</v>
      </c>
      <c r="G76" s="4">
        <f t="shared" si="4"/>
        <v>4.5796827901974391</v>
      </c>
    </row>
    <row r="77" spans="1:7" x14ac:dyDescent="0.2">
      <c r="A77">
        <f t="shared" si="5"/>
        <v>1.1800000000000006</v>
      </c>
      <c r="B77" s="4">
        <v>10</v>
      </c>
      <c r="C77" s="4">
        <f t="shared" si="10"/>
        <v>10.418670756435398</v>
      </c>
      <c r="D77" s="4">
        <f t="shared" si="1"/>
        <v>85.398940626519661</v>
      </c>
      <c r="E77" s="4">
        <f t="shared" si="2"/>
        <v>6.7692181529373192</v>
      </c>
      <c r="F77" s="4">
        <f t="shared" si="11"/>
        <v>6.7692181529373192</v>
      </c>
      <c r="G77" s="4">
        <f t="shared" si="4"/>
        <v>4.5296187619406973</v>
      </c>
    </row>
    <row r="78" spans="1:7" x14ac:dyDescent="0.2">
      <c r="A78">
        <f t="shared" ref="A78:A117" si="12">A77+0.02</f>
        <v>1.2000000000000006</v>
      </c>
      <c r="B78" s="4">
        <v>10</v>
      </c>
      <c r="C78" s="4">
        <f t="shared" ref="C78:C117" si="13">C77+F77*(A78-A77)</f>
        <v>10.554055119494144</v>
      </c>
      <c r="D78" s="4">
        <f t="shared" si="1"/>
        <v>86.508648520443813</v>
      </c>
      <c r="E78" s="4">
        <f t="shared" si="2"/>
        <v>6.7301036653978255</v>
      </c>
      <c r="F78" s="4">
        <f t="shared" ref="F78:F117" si="14">MIN(B78,E78)</f>
        <v>6.7301036653978255</v>
      </c>
      <c r="G78" s="4">
        <f t="shared" si="4"/>
        <v>4.4824702357201378</v>
      </c>
    </row>
    <row r="79" spans="1:7" x14ac:dyDescent="0.2">
      <c r="A79">
        <f t="shared" si="12"/>
        <v>1.2200000000000006</v>
      </c>
      <c r="B79" s="4">
        <v>10</v>
      </c>
      <c r="C79" s="4">
        <f t="shared" si="13"/>
        <v>10.688657192802101</v>
      </c>
      <c r="D79" s="4">
        <f t="shared" si="1"/>
        <v>87.611944203295906</v>
      </c>
      <c r="E79" s="4">
        <f t="shared" si="2"/>
        <v>6.69219748252321</v>
      </c>
      <c r="F79" s="4">
        <f t="shared" si="14"/>
        <v>6.69219748252321</v>
      </c>
      <c r="G79" s="4">
        <f t="shared" si="4"/>
        <v>4.4380674259148476</v>
      </c>
    </row>
    <row r="80" spans="1:7" x14ac:dyDescent="0.2">
      <c r="A80">
        <f t="shared" si="12"/>
        <v>1.2400000000000007</v>
      </c>
      <c r="B80" s="4">
        <v>10</v>
      </c>
      <c r="C80" s="4">
        <f t="shared" si="13"/>
        <v>10.822501142452564</v>
      </c>
      <c r="D80" s="4">
        <f t="shared" si="1"/>
        <v>88.709025757807908</v>
      </c>
      <c r="E80" s="4">
        <f t="shared" si="2"/>
        <v>6.6554397455670449</v>
      </c>
      <c r="F80" s="4">
        <f t="shared" si="14"/>
        <v>6.6554397455670449</v>
      </c>
      <c r="G80" s="4">
        <f t="shared" si="4"/>
        <v>4.3962504344487385</v>
      </c>
    </row>
    <row r="81" spans="1:7" x14ac:dyDescent="0.2">
      <c r="A81">
        <f t="shared" si="12"/>
        <v>1.2600000000000007</v>
      </c>
      <c r="B81" s="4">
        <v>10</v>
      </c>
      <c r="C81" s="4">
        <f t="shared" si="13"/>
        <v>10.955609937363905</v>
      </c>
      <c r="D81" s="4">
        <f t="shared" si="1"/>
        <v>89.800081453802505</v>
      </c>
      <c r="E81" s="4">
        <f t="shared" si="2"/>
        <v>6.6197746525871732</v>
      </c>
      <c r="F81" s="4">
        <f t="shared" si="14"/>
        <v>6.6197746525871732</v>
      </c>
      <c r="G81" s="4">
        <f t="shared" si="4"/>
        <v>4.3568686749847618</v>
      </c>
    </row>
    <row r="82" spans="1:7" x14ac:dyDescent="0.2">
      <c r="A82">
        <f t="shared" si="12"/>
        <v>1.2800000000000007</v>
      </c>
      <c r="B82" s="4">
        <v>10</v>
      </c>
      <c r="C82" s="4">
        <f t="shared" si="13"/>
        <v>11.088005430415649</v>
      </c>
      <c r="D82" s="4">
        <f t="shared" si="1"/>
        <v>90.885290413243027</v>
      </c>
      <c r="E82" s="4">
        <f t="shared" si="2"/>
        <v>6.585150111926767</v>
      </c>
      <c r="F82" s="4">
        <f t="shared" si="14"/>
        <v>6.585150111926767</v>
      </c>
      <c r="G82" s="4">
        <f t="shared" si="4"/>
        <v>4.319780330651442</v>
      </c>
    </row>
    <row r="83" spans="1:7" x14ac:dyDescent="0.2">
      <c r="A83">
        <f t="shared" si="12"/>
        <v>1.3000000000000007</v>
      </c>
      <c r="B83" s="4">
        <v>10</v>
      </c>
      <c r="C83" s="4">
        <f t="shared" si="13"/>
        <v>11.219708432654183</v>
      </c>
      <c r="D83" s="4">
        <f t="shared" ref="D83:D117" si="15">C83/($E$6-$B$11)</f>
        <v>91.964823218476909</v>
      </c>
      <c r="E83" s="4">
        <f t="shared" ref="E83:E117" si="16">$E$8*(-$B$12/D83+1)</f>
        <v>6.5515174311962605</v>
      </c>
      <c r="F83" s="4">
        <f t="shared" si="14"/>
        <v>6.5515174311962605</v>
      </c>
      <c r="G83" s="4">
        <f t="shared" ref="G83:G117" si="17">$E$8+($G$11-$E$8)*EXP(-$G$13*A82)</f>
        <v>4.284851843348962</v>
      </c>
    </row>
    <row r="84" spans="1:7" x14ac:dyDescent="0.2">
      <c r="A84">
        <f t="shared" si="12"/>
        <v>1.3200000000000007</v>
      </c>
      <c r="B84" s="4">
        <v>10</v>
      </c>
      <c r="C84" s="4">
        <f t="shared" si="13"/>
        <v>11.350738781278109</v>
      </c>
      <c r="D84" s="4">
        <f t="shared" si="15"/>
        <v>93.038842469492693</v>
      </c>
      <c r="E84" s="4">
        <f t="shared" si="16"/>
        <v>6.5188310375355849</v>
      </c>
      <c r="F84" s="4">
        <f t="shared" si="14"/>
        <v>6.5188310375355849</v>
      </c>
      <c r="G84" s="4">
        <f t="shared" si="17"/>
        <v>4.2519574327957388</v>
      </c>
    </row>
    <row r="85" spans="1:7" x14ac:dyDescent="0.2">
      <c r="A85">
        <f t="shared" si="12"/>
        <v>1.3400000000000007</v>
      </c>
      <c r="B85" s="4">
        <v>10</v>
      </c>
      <c r="C85" s="4">
        <f t="shared" si="13"/>
        <v>11.48111540202882</v>
      </c>
      <c r="D85" s="4">
        <f t="shared" si="15"/>
        <v>94.107503295318196</v>
      </c>
      <c r="E85" s="4">
        <f t="shared" si="16"/>
        <v>6.4870482255048287</v>
      </c>
      <c r="F85" s="4">
        <f t="shared" si="14"/>
        <v>6.4870482255048287</v>
      </c>
      <c r="G85" s="4">
        <f t="shared" si="17"/>
        <v>4.2209786435835532</v>
      </c>
    </row>
    <row r="86" spans="1:7" x14ac:dyDescent="0.2">
      <c r="A86">
        <f t="shared" si="12"/>
        <v>1.3600000000000008</v>
      </c>
      <c r="B86" s="4">
        <v>10</v>
      </c>
      <c r="C86" s="4">
        <f t="shared" si="13"/>
        <v>11.610856366538917</v>
      </c>
      <c r="D86" s="4">
        <f t="shared" si="15"/>
        <v>95.17095382408948</v>
      </c>
      <c r="E86" s="4">
        <f t="shared" si="16"/>
        <v>6.4561289294348558</v>
      </c>
      <c r="F86" s="4">
        <f t="shared" si="14"/>
        <v>6.4561289294348558</v>
      </c>
      <c r="G86" s="4">
        <f t="shared" si="17"/>
        <v>4.1918039186101339</v>
      </c>
    </row>
    <row r="87" spans="1:7" x14ac:dyDescent="0.2">
      <c r="A87">
        <f t="shared" si="12"/>
        <v>1.3800000000000008</v>
      </c>
      <c r="B87" s="4">
        <v>10</v>
      </c>
      <c r="C87" s="4">
        <f t="shared" si="13"/>
        <v>11.739978945127614</v>
      </c>
      <c r="D87" s="4">
        <f t="shared" si="15"/>
        <v>96.229335615800125</v>
      </c>
      <c r="E87" s="4">
        <f t="shared" si="16"/>
        <v>6.4260355174814734</v>
      </c>
      <c r="F87" s="4">
        <f t="shared" si="14"/>
        <v>6.4260355174814734</v>
      </c>
      <c r="G87" s="4">
        <f t="shared" si="17"/>
        <v>4.1643281973530941</v>
      </c>
    </row>
    <row r="88" spans="1:7" x14ac:dyDescent="0.2">
      <c r="A88">
        <f t="shared" si="12"/>
        <v>1.4000000000000008</v>
      </c>
      <c r="B88" s="4">
        <v>10</v>
      </c>
      <c r="C88" s="4">
        <f t="shared" si="13"/>
        <v>11.868499655477244</v>
      </c>
      <c r="D88" s="4">
        <f t="shared" si="15"/>
        <v>97.282784061288893</v>
      </c>
      <c r="E88" s="4">
        <f t="shared" si="16"/>
        <v>6.3967326049791708</v>
      </c>
      <c r="F88" s="4">
        <f t="shared" si="14"/>
        <v>6.3967326049791708</v>
      </c>
      <c r="G88" s="4">
        <f t="shared" si="17"/>
        <v>4.1384525375385666</v>
      </c>
    </row>
    <row r="89" spans="1:7" x14ac:dyDescent="0.2">
      <c r="A89">
        <f t="shared" si="12"/>
        <v>1.4200000000000008</v>
      </c>
      <c r="B89" s="4">
        <v>10</v>
      </c>
      <c r="C89" s="4">
        <f t="shared" si="13"/>
        <v>11.996434307576827</v>
      </c>
      <c r="D89" s="4">
        <f t="shared" si="15"/>
        <v>98.331428750629726</v>
      </c>
      <c r="E89" s="4">
        <f t="shared" si="16"/>
        <v>6.3681868849925811</v>
      </c>
      <c r="F89" s="4">
        <f t="shared" si="14"/>
        <v>6.3681868849925811</v>
      </c>
      <c r="G89" s="4">
        <f t="shared" si="17"/>
        <v>4.1140837588421535</v>
      </c>
    </row>
    <row r="90" spans="1:7" x14ac:dyDescent="0.2">
      <c r="A90">
        <f t="shared" si="12"/>
        <v>1.4400000000000008</v>
      </c>
      <c r="B90" s="4">
        <v>10</v>
      </c>
      <c r="C90" s="4">
        <f t="shared" si="13"/>
        <v>12.123798045276679</v>
      </c>
      <c r="D90" s="4">
        <f t="shared" si="15"/>
        <v>99.375393813743273</v>
      </c>
      <c r="E90" s="4">
        <f t="shared" si="16"/>
        <v>6.3403669742236293</v>
      </c>
      <c r="F90" s="4">
        <f t="shared" si="14"/>
        <v>6.3403669742236293</v>
      </c>
      <c r="G90" s="4">
        <f t="shared" si="17"/>
        <v>4.0911341073391085</v>
      </c>
    </row>
    <row r="91" spans="1:7" x14ac:dyDescent="0.2">
      <c r="A91">
        <f t="shared" si="12"/>
        <v>1.4600000000000009</v>
      </c>
      <c r="B91" s="4">
        <v>10</v>
      </c>
      <c r="C91" s="4">
        <f t="shared" si="13"/>
        <v>12.250605384761151</v>
      </c>
      <c r="D91" s="4">
        <f t="shared" si="15"/>
        <v>100.41479823574714</v>
      </c>
      <c r="E91" s="4">
        <f t="shared" si="16"/>
        <v>6.3132432726563907</v>
      </c>
      <c r="F91" s="4">
        <f t="shared" si="14"/>
        <v>6.3132432726563907</v>
      </c>
      <c r="G91" s="4">
        <f t="shared" si="17"/>
        <v>4.0695209394954217</v>
      </c>
    </row>
    <row r="92" spans="1:7" x14ac:dyDescent="0.2">
      <c r="A92">
        <f t="shared" si="12"/>
        <v>1.4800000000000009</v>
      </c>
      <c r="B92" s="4">
        <v>10</v>
      </c>
      <c r="C92" s="4">
        <f t="shared" si="13"/>
        <v>12.37687025021428</v>
      </c>
      <c r="D92" s="4">
        <f t="shared" si="15"/>
        <v>101.44975614929737</v>
      </c>
      <c r="E92" s="4">
        <f t="shared" si="16"/>
        <v>6.2867878355152023</v>
      </c>
      <c r="F92" s="4">
        <f t="shared" si="14"/>
        <v>6.2867878355152023</v>
      </c>
      <c r="G92" s="4">
        <f t="shared" si="17"/>
        <v>4.0491664245618342</v>
      </c>
    </row>
    <row r="93" spans="1:7" x14ac:dyDescent="0.2">
      <c r="A93">
        <f t="shared" si="12"/>
        <v>1.5000000000000009</v>
      </c>
      <c r="B93" s="4">
        <v>10</v>
      </c>
      <c r="C93" s="4">
        <f t="shared" si="13"/>
        <v>12.502606006924584</v>
      </c>
      <c r="D93" s="4">
        <f t="shared" si="15"/>
        <v>102.48037710593921</v>
      </c>
      <c r="E93" s="4">
        <f t="shared" si="16"/>
        <v>6.2609742562794359</v>
      </c>
      <c r="F93" s="4">
        <f t="shared" si="14"/>
        <v>6.2609742562794359</v>
      </c>
      <c r="G93" s="4">
        <f t="shared" si="17"/>
        <v>4.0299972642990705</v>
      </c>
    </row>
    <row r="94" spans="1:7" x14ac:dyDescent="0.2">
      <c r="A94">
        <f t="shared" si="12"/>
        <v>1.5200000000000009</v>
      </c>
      <c r="B94" s="4">
        <v>10</v>
      </c>
      <c r="C94" s="4">
        <f t="shared" si="13"/>
        <v>12.627825492050173</v>
      </c>
      <c r="D94" s="4">
        <f t="shared" si="15"/>
        <v>103.50676632828011</v>
      </c>
      <c r="E94" s="4">
        <f t="shared" si="16"/>
        <v>6.235777559643978</v>
      </c>
      <c r="F94" s="4">
        <f t="shared" si="14"/>
        <v>6.235777559643978</v>
      </c>
      <c r="G94" s="4">
        <f t="shared" si="17"/>
        <v>4.0119444290250073</v>
      </c>
    </row>
    <row r="95" spans="1:7" x14ac:dyDescent="0.2">
      <c r="A95">
        <f t="shared" si="12"/>
        <v>1.5400000000000009</v>
      </c>
      <c r="B95" s="4">
        <v>10</v>
      </c>
      <c r="C95" s="4">
        <f t="shared" si="13"/>
        <v>12.752541043243053</v>
      </c>
      <c r="D95" s="4">
        <f t="shared" si="15"/>
        <v>104.52902494461519</v>
      </c>
      <c r="E95" s="4">
        <f t="shared" si="16"/>
        <v>6.2111741034413477</v>
      </c>
      <c r="F95" s="4">
        <f t="shared" si="14"/>
        <v>6.2111741034413477</v>
      </c>
      <c r="G95" s="4">
        <f t="shared" si="17"/>
        <v>3.9949429090332558</v>
      </c>
    </row>
    <row r="96" spans="1:7" x14ac:dyDescent="0.2">
      <c r="A96">
        <f t="shared" si="12"/>
        <v>1.5600000000000009</v>
      </c>
      <c r="B96" s="4">
        <v>10</v>
      </c>
      <c r="C96" s="4">
        <f t="shared" si="13"/>
        <v>12.876764525311879</v>
      </c>
      <c r="D96" s="4">
        <f t="shared" si="15"/>
        <v>105.54725020747442</v>
      </c>
      <c r="E96" s="4">
        <f t="shared" si="16"/>
        <v>6.1871414886520606</v>
      </c>
      <c r="F96" s="4">
        <f t="shared" si="14"/>
        <v>6.1871414886520606</v>
      </c>
      <c r="G96" s="4">
        <f t="shared" si="17"/>
        <v>3.9789314804880007</v>
      </c>
    </row>
    <row r="97" spans="1:7" x14ac:dyDescent="0.2">
      <c r="A97">
        <f t="shared" si="12"/>
        <v>1.580000000000001</v>
      </c>
      <c r="B97" s="4">
        <v>10</v>
      </c>
      <c r="C97" s="4">
        <f t="shared" si="13"/>
        <v>13.00050735508492</v>
      </c>
      <c r="D97" s="4">
        <f t="shared" si="15"/>
        <v>106.56153569741738</v>
      </c>
      <c r="E97" s="4">
        <f t="shared" si="16"/>
        <v>6.1636584767266172</v>
      </c>
      <c r="F97" s="4">
        <f t="shared" si="14"/>
        <v>6.1636584767266172</v>
      </c>
      <c r="G97" s="4">
        <f t="shared" si="17"/>
        <v>3.9638524849520609</v>
      </c>
    </row>
    <row r="98" spans="1:7" x14ac:dyDescent="0.2">
      <c r="A98">
        <f t="shared" si="12"/>
        <v>1.600000000000001</v>
      </c>
      <c r="B98" s="4">
        <v>10</v>
      </c>
      <c r="C98" s="4">
        <f t="shared" si="13"/>
        <v>13.123780524619454</v>
      </c>
      <c r="D98" s="4">
        <f t="shared" si="15"/>
        <v>107.57197151327421</v>
      </c>
      <c r="E98" s="4">
        <f t="shared" si="16"/>
        <v>6.1407049135272853</v>
      </c>
      <c r="F98" s="4">
        <f t="shared" si="14"/>
        <v>6.1407049135272853</v>
      </c>
      <c r="G98" s="4">
        <f t="shared" si="17"/>
        <v>3.9496516217542377</v>
      </c>
    </row>
    <row r="99" spans="1:7" x14ac:dyDescent="0.2">
      <c r="A99">
        <f t="shared" si="12"/>
        <v>1.620000000000001</v>
      </c>
      <c r="B99" s="4">
        <v>10</v>
      </c>
      <c r="C99" s="4">
        <f t="shared" si="13"/>
        <v>13.246594622889999</v>
      </c>
      <c r="D99" s="4">
        <f t="shared" si="15"/>
        <v>108.57864444991803</v>
      </c>
      <c r="E99" s="4">
        <f t="shared" si="16"/>
        <v>6.1182616592723225</v>
      </c>
      <c r="F99" s="4">
        <f t="shared" si="14"/>
        <v>6.1182616592723225</v>
      </c>
      <c r="G99" s="4">
        <f t="shared" si="17"/>
        <v>3.936277752448246</v>
      </c>
    </row>
    <row r="100" spans="1:7" x14ac:dyDescent="0.2">
      <c r="A100">
        <f t="shared" si="12"/>
        <v>1.640000000000001</v>
      </c>
      <c r="B100" s="4">
        <v>10</v>
      </c>
      <c r="C100" s="4">
        <f t="shared" si="13"/>
        <v>13.368959856075445</v>
      </c>
      <c r="D100" s="4">
        <f t="shared" si="15"/>
        <v>109.58163816455283</v>
      </c>
      <c r="E100" s="4">
        <f t="shared" si="16"/>
        <v>6.0963105239307644</v>
      </c>
      <c r="F100" s="4">
        <f t="shared" si="14"/>
        <v>6.0963105239307644</v>
      </c>
      <c r="G100" s="4">
        <f t="shared" si="17"/>
        <v>3.923682716659072</v>
      </c>
    </row>
    <row r="101" spans="1:7" x14ac:dyDescent="0.2">
      <c r="A101">
        <f t="shared" si="12"/>
        <v>1.660000000000001</v>
      </c>
      <c r="B101" s="4">
        <v>10</v>
      </c>
      <c r="C101" s="4">
        <f t="shared" si="13"/>
        <v>13.490886066554062</v>
      </c>
      <c r="D101" s="4">
        <f t="shared" si="15"/>
        <v>110.58103333241034</v>
      </c>
      <c r="E101" s="4">
        <f t="shared" si="16"/>
        <v>6.074834207573633</v>
      </c>
      <c r="F101" s="4">
        <f t="shared" si="14"/>
        <v>6.074834207573633</v>
      </c>
      <c r="G101" s="4">
        <f t="shared" si="17"/>
        <v>3.9118211586536034</v>
      </c>
    </row>
    <row r="102" spans="1:7" x14ac:dyDescent="0.2">
      <c r="A102">
        <f t="shared" si="12"/>
        <v>1.680000000000001</v>
      </c>
      <c r="B102" s="4">
        <v>10</v>
      </c>
      <c r="C102" s="4">
        <f t="shared" si="13"/>
        <v>13.612382750705533</v>
      </c>
      <c r="D102" s="4">
        <f t="shared" si="15"/>
        <v>111.57690779266831</v>
      </c>
      <c r="E102" s="4">
        <f t="shared" si="16"/>
        <v>6.0538162452384334</v>
      </c>
      <c r="F102" s="4">
        <f t="shared" si="14"/>
        <v>6.0538162452384334</v>
      </c>
      <c r="G102" s="4">
        <f t="shared" si="17"/>
        <v>3.9006503640110011</v>
      </c>
    </row>
    <row r="103" spans="1:7" x14ac:dyDescent="0.2">
      <c r="A103">
        <f t="shared" si="12"/>
        <v>1.7000000000000011</v>
      </c>
      <c r="B103" s="4">
        <v>10</v>
      </c>
      <c r="C103" s="4">
        <f t="shared" si="13"/>
        <v>13.733459075610302</v>
      </c>
      <c r="D103" s="4">
        <f t="shared" si="15"/>
        <v>112.56933668533034</v>
      </c>
      <c r="E103" s="4">
        <f t="shared" si="16"/>
        <v>6.0332409559088616</v>
      </c>
      <c r="F103" s="4">
        <f t="shared" si="14"/>
        <v>6.0332409559088616</v>
      </c>
      <c r="G103" s="4">
        <f t="shared" si="17"/>
        <v>3.8901301058046451</v>
      </c>
    </row>
    <row r="104" spans="1:7" x14ac:dyDescent="0.2">
      <c r="A104">
        <f t="shared" si="12"/>
        <v>1.7200000000000011</v>
      </c>
      <c r="B104" s="4">
        <v>10</v>
      </c>
      <c r="C104" s="4">
        <f t="shared" si="13"/>
        <v>13.854123894728479</v>
      </c>
      <c r="D104" s="4">
        <f t="shared" si="15"/>
        <v>113.55839257974164</v>
      </c>
      <c r="E104" s="4">
        <f t="shared" si="16"/>
        <v>6.0130933952516541</v>
      </c>
      <c r="F104" s="4">
        <f t="shared" si="14"/>
        <v>6.0130933952516541</v>
      </c>
      <c r="G104" s="4">
        <f t="shared" si="17"/>
        <v>3.8802224997417505</v>
      </c>
    </row>
    <row r="105" spans="1:7" x14ac:dyDescent="0.2">
      <c r="A105">
        <f t="shared" si="12"/>
        <v>1.7400000000000011</v>
      </c>
      <c r="B105" s="4">
        <v>10</v>
      </c>
      <c r="C105" s="4">
        <f t="shared" si="13"/>
        <v>13.974385762633512</v>
      </c>
      <c r="D105" s="4">
        <f t="shared" si="15"/>
        <v>114.54414559535665</v>
      </c>
      <c r="E105" s="4">
        <f t="shared" si="16"/>
        <v>5.9933593117879607</v>
      </c>
      <c r="F105" s="4">
        <f t="shared" si="14"/>
        <v>5.9933593117879607</v>
      </c>
      <c r="G105" s="4">
        <f t="shared" si="17"/>
        <v>3.8708918677389921</v>
      </c>
    </row>
    <row r="106" spans="1:7" x14ac:dyDescent="0.2">
      <c r="A106">
        <f t="shared" si="12"/>
        <v>1.7600000000000011</v>
      </c>
      <c r="B106" s="4">
        <v>10</v>
      </c>
      <c r="C106" s="4">
        <f t="shared" si="13"/>
        <v>14.09425294886927</v>
      </c>
      <c r="D106" s="4">
        <f t="shared" si="15"/>
        <v>115.52666351532189</v>
      </c>
      <c r="E106" s="4">
        <f t="shared" si="16"/>
        <v>5.9740251062081802</v>
      </c>
      <c r="F106" s="4">
        <f t="shared" si="14"/>
        <v>5.9740251062081802</v>
      </c>
      <c r="G106" s="4">
        <f t="shared" si="17"/>
        <v>3.8621046094428682</v>
      </c>
    </row>
    <row r="107" spans="1:7" x14ac:dyDescent="0.2">
      <c r="A107">
        <f t="shared" si="12"/>
        <v>1.7800000000000011</v>
      </c>
      <c r="B107" s="4">
        <v>10</v>
      </c>
      <c r="C107" s="4">
        <f t="shared" si="13"/>
        <v>14.213733450993434</v>
      </c>
      <c r="D107" s="4">
        <f t="shared" si="15"/>
        <v>116.5060118933888</v>
      </c>
      <c r="E107" s="4">
        <f t="shared" si="16"/>
        <v>5.9550777935672903</v>
      </c>
      <c r="F107" s="4">
        <f t="shared" si="14"/>
        <v>5.9550777935672903</v>
      </c>
      <c r="G107" s="4">
        <f t="shared" si="17"/>
        <v>3.8538290812321345</v>
      </c>
    </row>
    <row r="108" spans="1:7" x14ac:dyDescent="0.2">
      <c r="A108">
        <f t="shared" si="12"/>
        <v>1.8000000000000012</v>
      </c>
      <c r="B108" s="4">
        <v>10</v>
      </c>
      <c r="C108" s="4">
        <f t="shared" si="13"/>
        <v>14.33283500686478</v>
      </c>
      <c r="D108" s="4">
        <f t="shared" si="15"/>
        <v>117.48225415462935</v>
      </c>
      <c r="E108" s="4">
        <f t="shared" si="16"/>
        <v>5.9365049681227884</v>
      </c>
      <c r="F108" s="4">
        <f t="shared" si="14"/>
        <v>5.9365049681227884</v>
      </c>
      <c r="G108" s="4">
        <f t="shared" si="17"/>
        <v>3.8460354822665899</v>
      </c>
    </row>
    <row r="109" spans="1:7" x14ac:dyDescent="0.2">
      <c r="A109">
        <f t="shared" si="12"/>
        <v>1.8200000000000012</v>
      </c>
      <c r="B109" s="4">
        <v>10</v>
      </c>
      <c r="C109" s="4">
        <f t="shared" si="13"/>
        <v>14.451565106227235</v>
      </c>
      <c r="D109" s="4">
        <f t="shared" si="15"/>
        <v>118.45545169038718</v>
      </c>
      <c r="E109" s="4">
        <f t="shared" si="16"/>
        <v>5.9182947705996698</v>
      </c>
      <c r="F109" s="4">
        <f t="shared" si="14"/>
        <v>5.9182947705996698</v>
      </c>
      <c r="G109" s="4">
        <f t="shared" si="17"/>
        <v>3.8386957471718608</v>
      </c>
    </row>
    <row r="110" spans="1:7" x14ac:dyDescent="0.2">
      <c r="A110">
        <f t="shared" si="12"/>
        <v>1.8400000000000012</v>
      </c>
      <c r="B110" s="4">
        <v>10</v>
      </c>
      <c r="C110" s="4">
        <f t="shared" si="13"/>
        <v>14.56993100163923</v>
      </c>
      <c r="D110" s="4">
        <f t="shared" si="15"/>
        <v>119.42566394786255</v>
      </c>
      <c r="E110" s="4">
        <f t="shared" si="16"/>
        <v>5.9004358576870244</v>
      </c>
      <c r="F110" s="4">
        <f t="shared" si="14"/>
        <v>5.9004358576870244</v>
      </c>
      <c r="G110" s="4">
        <f t="shared" si="17"/>
        <v>3.8317834449737411</v>
      </c>
    </row>
    <row r="111" spans="1:7" x14ac:dyDescent="0.2">
      <c r="A111">
        <f t="shared" si="12"/>
        <v>1.8600000000000012</v>
      </c>
      <c r="B111" s="4">
        <v>10</v>
      </c>
      <c r="C111" s="4">
        <f t="shared" si="13"/>
        <v>14.68793971879297</v>
      </c>
      <c r="D111" s="4">
        <f t="shared" si="15"/>
        <v>120.39294851469649</v>
      </c>
      <c r="E111" s="4">
        <f t="shared" si="16"/>
        <v>5.8829173735886435</v>
      </c>
      <c r="F111" s="4">
        <f t="shared" si="14"/>
        <v>5.8829173735886435</v>
      </c>
      <c r="G111" s="4">
        <f t="shared" si="17"/>
        <v>3.825273683918136</v>
      </c>
    </row>
    <row r="112" spans="1:7" x14ac:dyDescent="0.2">
      <c r="A112">
        <f t="shared" si="12"/>
        <v>1.8800000000000012</v>
      </c>
      <c r="B112" s="4">
        <v>10</v>
      </c>
      <c r="C112" s="4">
        <f t="shared" si="13"/>
        <v>14.805598066264743</v>
      </c>
      <c r="D112" s="4">
        <f t="shared" si="15"/>
        <v>121.35736119889134</v>
      </c>
      <c r="E112" s="4">
        <f t="shared" si="16"/>
        <v>5.865728923466234</v>
      </c>
      <c r="F112" s="4">
        <f t="shared" si="14"/>
        <v>5.865728923466234</v>
      </c>
      <c r="G112" s="4">
        <f t="shared" si="17"/>
        <v>3.8191430218338591</v>
      </c>
    </row>
    <row r="113" spans="1:7" x14ac:dyDescent="0.2">
      <c r="A113">
        <f t="shared" si="12"/>
        <v>1.9000000000000012</v>
      </c>
      <c r="B113" s="4">
        <v>10</v>
      </c>
      <c r="C113" s="4">
        <f t="shared" si="13"/>
        <v>14.922912644734067</v>
      </c>
      <c r="D113" s="4">
        <f t="shared" si="15"/>
        <v>122.31895610437761</v>
      </c>
      <c r="E113" s="4">
        <f t="shared" si="16"/>
        <v>5.8488605486282488</v>
      </c>
      <c r="F113" s="4">
        <f t="shared" si="14"/>
        <v>5.8488605486282488</v>
      </c>
      <c r="G113" s="4">
        <f t="shared" si="17"/>
        <v>3.8133693817154972</v>
      </c>
    </row>
    <row r="114" spans="1:7" x14ac:dyDescent="0.2">
      <c r="A114">
        <f t="shared" si="12"/>
        <v>1.9200000000000013</v>
      </c>
      <c r="B114" s="4">
        <v>10</v>
      </c>
      <c r="C114" s="4">
        <f t="shared" si="13"/>
        <v>15.039889855706633</v>
      </c>
      <c r="D114" s="4">
        <f t="shared" si="15"/>
        <v>123.27778570251338</v>
      </c>
      <c r="E114" s="4">
        <f t="shared" si="16"/>
        <v>5.8323027033303614</v>
      </c>
      <c r="F114" s="4">
        <f t="shared" si="14"/>
        <v>5.8323027033303614</v>
      </c>
      <c r="G114" s="4">
        <f t="shared" si="17"/>
        <v>3.8079319722223448</v>
      </c>
    </row>
    <row r="115" spans="1:7" x14ac:dyDescent="0.2">
      <c r="A115">
        <f t="shared" si="12"/>
        <v>1.9400000000000013</v>
      </c>
      <c r="B115" s="4">
        <v>10</v>
      </c>
      <c r="C115" s="4">
        <f t="shared" si="13"/>
        <v>15.15653590977324</v>
      </c>
      <c r="D115" s="4">
        <f t="shared" si="15"/>
        <v>124.23390089978065</v>
      </c>
      <c r="E115" s="4">
        <f t="shared" si="16"/>
        <v>5.8160462330653564</v>
      </c>
      <c r="F115" s="4">
        <f t="shared" si="14"/>
        <v>5.8160462330653564</v>
      </c>
      <c r="G115" s="4">
        <f t="shared" si="17"/>
        <v>3.8028112128071196</v>
      </c>
    </row>
    <row r="116" spans="1:7" x14ac:dyDescent="0.2">
      <c r="A116">
        <f t="shared" si="12"/>
        <v>1.9600000000000013</v>
      </c>
      <c r="B116" s="4">
        <v>10</v>
      </c>
      <c r="C116" s="4">
        <f t="shared" si="13"/>
        <v>15.272856834434547</v>
      </c>
      <c r="D116" s="4">
        <f t="shared" si="15"/>
        <v>125.18735110192252</v>
      </c>
      <c r="E116" s="4">
        <f t="shared" si="16"/>
        <v>5.8000823542307627</v>
      </c>
      <c r="F116" s="4">
        <f t="shared" si="14"/>
        <v>5.8000823542307627</v>
      </c>
      <c r="G116" s="4">
        <f t="shared" si="17"/>
        <v>3.7979886632048432</v>
      </c>
    </row>
    <row r="117" spans="1:7" x14ac:dyDescent="0.2">
      <c r="A117">
        <f t="shared" si="12"/>
        <v>1.9800000000000013</v>
      </c>
      <c r="B117" s="4">
        <v>10</v>
      </c>
      <c r="C117" s="4">
        <f t="shared" si="13"/>
        <v>15.388858481519163</v>
      </c>
      <c r="D117" s="4">
        <f t="shared" si="15"/>
        <v>126.13818427474725</v>
      </c>
      <c r="E117" s="4">
        <f t="shared" si="16"/>
        <v>5.7844026350721132</v>
      </c>
      <c r="F117" s="4">
        <f t="shared" si="14"/>
        <v>5.7844026350721132</v>
      </c>
      <c r="G117" s="4">
        <f t="shared" si="17"/>
        <v>3.7934469570279683</v>
      </c>
    </row>
    <row r="118" spans="1:7" x14ac:dyDescent="0.2">
      <c r="B118" s="4"/>
      <c r="C118" s="4"/>
      <c r="D118" s="4"/>
      <c r="E118" s="4"/>
      <c r="F118" s="4"/>
    </row>
    <row r="119" spans="1:7" x14ac:dyDescent="0.2">
      <c r="B119" s="4"/>
      <c r="C119" s="4"/>
      <c r="D119" s="4"/>
      <c r="E119" s="4"/>
      <c r="F119" s="4"/>
    </row>
    <row r="120" spans="1:7" x14ac:dyDescent="0.2">
      <c r="B120" s="4"/>
      <c r="C120" s="4"/>
      <c r="D120" s="4"/>
      <c r="E120" s="4"/>
      <c r="F120" s="4"/>
    </row>
    <row r="121" spans="1:7" x14ac:dyDescent="0.2">
      <c r="B121" s="4"/>
      <c r="C121" s="4"/>
      <c r="D121" s="4"/>
      <c r="E121" s="4"/>
      <c r="F121" s="4"/>
    </row>
    <row r="122" spans="1:7" x14ac:dyDescent="0.2">
      <c r="B122" s="4"/>
      <c r="C122" s="4"/>
      <c r="D122" s="4"/>
      <c r="E122" s="4"/>
      <c r="F122" s="4"/>
    </row>
    <row r="123" spans="1:7" x14ac:dyDescent="0.2">
      <c r="B123" s="4"/>
      <c r="C123" s="4"/>
      <c r="D123" s="4"/>
      <c r="E123" s="4"/>
      <c r="F123" s="4"/>
    </row>
    <row r="124" spans="1:7" x14ac:dyDescent="0.2">
      <c r="B124" s="4"/>
      <c r="C124" s="4"/>
      <c r="D124" s="4"/>
      <c r="E124" s="4"/>
      <c r="F124" s="4"/>
    </row>
    <row r="125" spans="1:7" x14ac:dyDescent="0.2">
      <c r="B125" s="4"/>
      <c r="C125" s="4"/>
      <c r="D125" s="4"/>
      <c r="E125" s="4"/>
      <c r="F125" s="4"/>
    </row>
    <row r="126" spans="1:7" x14ac:dyDescent="0.2">
      <c r="B126" s="4"/>
      <c r="C126" s="4"/>
      <c r="D126" s="4"/>
      <c r="E126" s="4"/>
      <c r="F126" s="4"/>
    </row>
    <row r="127" spans="1:7" x14ac:dyDescent="0.2">
      <c r="B127" s="4"/>
      <c r="C127" s="4"/>
      <c r="D127" s="4"/>
      <c r="E127" s="4"/>
      <c r="F127" s="4"/>
    </row>
    <row r="128" spans="1:7" x14ac:dyDescent="0.2">
      <c r="B128" s="4"/>
      <c r="C128" s="4"/>
      <c r="D128" s="4"/>
      <c r="E128" s="4"/>
      <c r="F128" s="4"/>
    </row>
    <row r="129" spans="2:6" x14ac:dyDescent="0.2">
      <c r="B129" s="4"/>
      <c r="C129" s="4"/>
      <c r="D129" s="4"/>
      <c r="E129" s="4"/>
      <c r="F129" s="4"/>
    </row>
    <row r="130" spans="2:6" x14ac:dyDescent="0.2">
      <c r="B130" s="4"/>
      <c r="C130" s="4"/>
      <c r="D130" s="4"/>
      <c r="E130" s="4"/>
      <c r="F130" s="4"/>
    </row>
    <row r="131" spans="2:6" x14ac:dyDescent="0.2">
      <c r="B131" s="4"/>
      <c r="C131" s="4"/>
      <c r="D131" s="4"/>
      <c r="E131" s="4"/>
      <c r="F131" s="4"/>
    </row>
    <row r="132" spans="2:6" x14ac:dyDescent="0.2">
      <c r="B132" s="4"/>
      <c r="C132" s="4"/>
      <c r="D132" s="4"/>
      <c r="E132" s="4"/>
      <c r="F132" s="4"/>
    </row>
    <row r="133" spans="2:6" x14ac:dyDescent="0.2">
      <c r="B133" s="4"/>
      <c r="C133" s="4"/>
      <c r="D133" s="4"/>
      <c r="E133" s="4"/>
      <c r="F133" s="4"/>
    </row>
    <row r="134" spans="2:6" x14ac:dyDescent="0.2">
      <c r="B134" s="4"/>
      <c r="C134" s="4"/>
      <c r="D134" s="4"/>
      <c r="E134" s="4"/>
      <c r="F134" s="4"/>
    </row>
    <row r="135" spans="2:6" x14ac:dyDescent="0.2">
      <c r="B135" s="4"/>
      <c r="C135" s="4"/>
      <c r="D135" s="4"/>
      <c r="E135" s="4"/>
      <c r="F135" s="4"/>
    </row>
    <row r="136" spans="2:6" x14ac:dyDescent="0.2">
      <c r="B136" s="4"/>
      <c r="C136" s="4"/>
      <c r="D136" s="4"/>
      <c r="E136" s="4"/>
      <c r="F136" s="4"/>
    </row>
    <row r="137" spans="2:6" x14ac:dyDescent="0.2">
      <c r="B137" s="4"/>
      <c r="C137" s="4"/>
      <c r="D137" s="4"/>
      <c r="E137" s="4"/>
      <c r="F137" s="4"/>
    </row>
    <row r="138" spans="2:6" x14ac:dyDescent="0.2">
      <c r="B138" s="4"/>
      <c r="C138" s="4"/>
      <c r="D138" s="4"/>
      <c r="E138" s="4"/>
      <c r="F138" s="4"/>
    </row>
    <row r="139" spans="2:6" x14ac:dyDescent="0.2">
      <c r="B139" s="4"/>
      <c r="C139" s="4"/>
      <c r="D139" s="4"/>
      <c r="E139" s="4"/>
      <c r="F139" s="4"/>
    </row>
    <row r="140" spans="2:6" x14ac:dyDescent="0.2">
      <c r="B140" s="4"/>
      <c r="C140" s="4"/>
      <c r="D140" s="4"/>
      <c r="E140" s="4"/>
      <c r="F140" s="4"/>
    </row>
    <row r="141" spans="2:6" x14ac:dyDescent="0.2">
      <c r="B141" s="4"/>
      <c r="C141" s="4"/>
      <c r="D141" s="4"/>
      <c r="E141" s="4"/>
      <c r="F141" s="4"/>
    </row>
    <row r="142" spans="2:6" x14ac:dyDescent="0.2">
      <c r="B142" s="4"/>
      <c r="C142" s="4"/>
      <c r="D142" s="4"/>
      <c r="E142" s="4"/>
      <c r="F142" s="4"/>
    </row>
    <row r="143" spans="2:6" x14ac:dyDescent="0.2">
      <c r="B143" s="4"/>
      <c r="C143" s="4"/>
      <c r="D143" s="4"/>
      <c r="E143" s="4"/>
      <c r="F143" s="4"/>
    </row>
    <row r="144" spans="2:6" x14ac:dyDescent="0.2">
      <c r="B144" s="4"/>
      <c r="C144" s="4"/>
      <c r="D144" s="4"/>
      <c r="E144" s="4"/>
      <c r="F144" s="4"/>
    </row>
    <row r="145" spans="2:6" x14ac:dyDescent="0.2">
      <c r="B145" s="4"/>
      <c r="C145" s="4"/>
      <c r="D145" s="4"/>
      <c r="E145" s="4"/>
      <c r="F145" s="4"/>
    </row>
    <row r="146" spans="2:6" x14ac:dyDescent="0.2">
      <c r="B146" s="4"/>
      <c r="C146" s="4"/>
      <c r="D146" s="4"/>
      <c r="E146" s="4"/>
      <c r="F146" s="4"/>
    </row>
    <row r="147" spans="2:6" x14ac:dyDescent="0.2">
      <c r="B147" s="4"/>
      <c r="C147" s="4"/>
      <c r="D147" s="4"/>
      <c r="E147" s="4"/>
      <c r="F147" s="4"/>
    </row>
    <row r="148" spans="2:6" x14ac:dyDescent="0.2">
      <c r="B148" s="4"/>
      <c r="C148" s="4"/>
      <c r="D148" s="4"/>
      <c r="E148" s="4"/>
      <c r="F148" s="4"/>
    </row>
    <row r="149" spans="2:6" x14ac:dyDescent="0.2">
      <c r="B149" s="4"/>
      <c r="C149" s="4"/>
      <c r="D149" s="4"/>
      <c r="E149" s="4"/>
      <c r="F149" s="4"/>
    </row>
    <row r="150" spans="2:6" x14ac:dyDescent="0.2">
      <c r="B150" s="4"/>
      <c r="C150" s="4"/>
      <c r="D150" s="4"/>
      <c r="E150" s="4"/>
      <c r="F150" s="4"/>
    </row>
    <row r="151" spans="2:6" x14ac:dyDescent="0.2">
      <c r="B151" s="4"/>
      <c r="C151" s="4"/>
      <c r="D151" s="4"/>
      <c r="E151" s="4"/>
      <c r="F151" s="4"/>
    </row>
    <row r="152" spans="2:6" x14ac:dyDescent="0.2">
      <c r="B152" s="4"/>
      <c r="C152" s="4"/>
      <c r="D152" s="4"/>
      <c r="E152" s="4"/>
      <c r="F152" s="4"/>
    </row>
    <row r="153" spans="2:6" x14ac:dyDescent="0.2">
      <c r="B153" s="4"/>
      <c r="C153" s="4"/>
      <c r="D153" s="4"/>
      <c r="E153" s="4"/>
      <c r="F153" s="4"/>
    </row>
    <row r="154" spans="2:6" x14ac:dyDescent="0.2">
      <c r="B154" s="4"/>
      <c r="C154" s="4"/>
      <c r="D154" s="4"/>
      <c r="E154" s="4"/>
      <c r="F154" s="4"/>
    </row>
    <row r="155" spans="2:6" x14ac:dyDescent="0.2">
      <c r="B155" s="4"/>
      <c r="C155" s="4"/>
      <c r="D155" s="4"/>
      <c r="E155" s="4"/>
      <c r="F155" s="4"/>
    </row>
    <row r="156" spans="2:6" x14ac:dyDescent="0.2">
      <c r="B156" s="4"/>
      <c r="C156" s="4"/>
      <c r="D156" s="4"/>
      <c r="E156" s="4"/>
      <c r="F156" s="4"/>
    </row>
    <row r="157" spans="2:6" x14ac:dyDescent="0.2">
      <c r="B157" s="4"/>
      <c r="C157" s="4"/>
      <c r="D157" s="4"/>
      <c r="E157" s="4"/>
      <c r="F157" s="4"/>
    </row>
    <row r="158" spans="2:6" x14ac:dyDescent="0.2">
      <c r="B158" s="4"/>
      <c r="C158" s="4"/>
      <c r="D158" s="4"/>
      <c r="E158" s="4"/>
      <c r="F158" s="4"/>
    </row>
    <row r="159" spans="2:6" x14ac:dyDescent="0.2">
      <c r="B159" s="4"/>
      <c r="C159" s="4"/>
      <c r="D159" s="4"/>
      <c r="E159" s="4"/>
      <c r="F159" s="4"/>
    </row>
    <row r="160" spans="2:6" x14ac:dyDescent="0.2">
      <c r="B160" s="4"/>
      <c r="C160" s="4"/>
      <c r="D160" s="4"/>
      <c r="E160" s="4"/>
      <c r="F160" s="4"/>
    </row>
    <row r="161" spans="2:6" x14ac:dyDescent="0.2">
      <c r="B161" s="4"/>
      <c r="C161" s="4"/>
      <c r="D161" s="4"/>
      <c r="E161" s="4"/>
      <c r="F161" s="4"/>
    </row>
    <row r="162" spans="2:6" x14ac:dyDescent="0.2">
      <c r="B162" s="4"/>
      <c r="C162" s="4"/>
      <c r="D162" s="4"/>
      <c r="E162" s="4"/>
      <c r="F162" s="4"/>
    </row>
    <row r="163" spans="2:6" x14ac:dyDescent="0.2">
      <c r="B163" s="4"/>
      <c r="C163" s="4"/>
      <c r="D163" s="4"/>
      <c r="E163" s="4"/>
      <c r="F163" s="4"/>
    </row>
    <row r="164" spans="2:6" x14ac:dyDescent="0.2">
      <c r="B164" s="4"/>
      <c r="C164" s="4"/>
      <c r="D164" s="4"/>
      <c r="E164" s="4"/>
      <c r="F164" s="4"/>
    </row>
    <row r="165" spans="2:6" x14ac:dyDescent="0.2">
      <c r="B165" s="4"/>
      <c r="C165" s="4"/>
      <c r="D165" s="4"/>
      <c r="E165" s="4"/>
      <c r="F165" s="4"/>
    </row>
    <row r="166" spans="2:6" x14ac:dyDescent="0.2">
      <c r="B166" s="4"/>
      <c r="C166" s="4"/>
      <c r="D166" s="4"/>
      <c r="E166" s="4"/>
      <c r="F166" s="4"/>
    </row>
    <row r="167" spans="2:6" x14ac:dyDescent="0.2">
      <c r="B167" s="4"/>
      <c r="C167" s="4"/>
      <c r="D167" s="4"/>
      <c r="E167" s="4"/>
      <c r="F167" s="4"/>
    </row>
    <row r="170" spans="2:6" x14ac:dyDescent="0.2">
      <c r="B170" s="4"/>
    </row>
  </sheetData>
  <mergeCells count="3">
    <mergeCell ref="B5:E5"/>
    <mergeCell ref="H5:I5"/>
    <mergeCell ref="H15:I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RetentionCurves</vt:lpstr>
      <vt:lpstr>vanGenuchtenSchematic</vt:lpstr>
      <vt:lpstr>Table for textbook</vt:lpstr>
      <vt:lpstr>GreenAmpt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John Guswa</dc:creator>
  <cp:lastModifiedBy>Andrew John Guswa</cp:lastModifiedBy>
  <dcterms:created xsi:type="dcterms:W3CDTF">2026-08-20T17:01:27Z</dcterms:created>
  <dcterms:modified xsi:type="dcterms:W3CDTF">2026-10-02T19:08:51Z</dcterms:modified>
</cp:coreProperties>
</file>